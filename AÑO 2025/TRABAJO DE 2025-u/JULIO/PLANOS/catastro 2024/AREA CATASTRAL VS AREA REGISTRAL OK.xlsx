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sco Morgan\Desktop\catastro 2024\"/>
    </mc:Choice>
  </mc:AlternateContent>
  <xr:revisionPtr revIDLastSave="0" documentId="13_ncr:1_{81D3E926-EECA-4F73-B919-B683A8705020}" xr6:coauthVersionLast="47" xr6:coauthVersionMax="47" xr10:uidLastSave="{00000000-0000-0000-0000-000000000000}"/>
  <workbookProtection workbookPassword="8628" lockStructure="1"/>
  <bookViews>
    <workbookView xWindow="-120" yWindow="-120" windowWidth="29040" windowHeight="15840" xr2:uid="{00000000-000D-0000-FFFF-FFFF00000000}"/>
  </bookViews>
  <sheets>
    <sheet name="CONVERSION Y TOLERANCIA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6" l="1"/>
  <c r="D3" i="6" s="1"/>
  <c r="E3" i="6"/>
  <c r="C3" i="6" s="1"/>
  <c r="D11" i="6" l="1"/>
  <c r="D10" i="6"/>
  <c r="D12" i="6" l="1"/>
  <c r="G25" i="6" l="1"/>
  <c r="L25" i="6" s="1"/>
  <c r="G26" i="6"/>
  <c r="L26" i="6" s="1"/>
  <c r="G27" i="6"/>
  <c r="L27" i="6" s="1"/>
  <c r="G28" i="6"/>
  <c r="L28" i="6" s="1"/>
  <c r="G29" i="6"/>
  <c r="L29" i="6" s="1"/>
  <c r="G24" i="6"/>
  <c r="L24" i="6" l="1"/>
  <c r="O25" i="6"/>
  <c r="O26" i="6"/>
  <c r="O27" i="6"/>
  <c r="O28" i="6"/>
  <c r="O29" i="6"/>
  <c r="O24" i="6"/>
  <c r="D13" i="6" l="1"/>
  <c r="D17" i="6"/>
  <c r="D15" i="6" l="1"/>
  <c r="D16" i="6"/>
  <c r="D18" i="6"/>
  <c r="D19" i="6"/>
  <c r="D20" i="6"/>
  <c r="D14" i="6" l="1"/>
  <c r="H25" i="6" l="1"/>
  <c r="M25" i="6" l="1"/>
  <c r="I29" i="6" l="1"/>
  <c r="H29" i="6"/>
  <c r="I28" i="6"/>
  <c r="H28" i="6"/>
  <c r="I27" i="6"/>
  <c r="H27" i="6"/>
  <c r="I26" i="6"/>
  <c r="H26" i="6"/>
  <c r="I25" i="6"/>
  <c r="I24" i="6"/>
  <c r="N24" i="6" s="1"/>
  <c r="H24" i="6"/>
  <c r="M26" i="6" l="1"/>
  <c r="M27" i="6"/>
  <c r="N26" i="6"/>
  <c r="N27" i="6"/>
  <c r="M28" i="6"/>
  <c r="M24" i="6"/>
  <c r="N28" i="6"/>
  <c r="M29" i="6"/>
  <c r="N25" i="6"/>
  <c r="N29" i="6"/>
</calcChain>
</file>

<file path=xl/sharedStrings.xml><?xml version="1.0" encoding="utf-8"?>
<sst xmlns="http://schemas.openxmlformats.org/spreadsheetml/2006/main" count="90" uniqueCount="65">
  <si>
    <t>ZONA</t>
  </si>
  <si>
    <t>RANGO</t>
  </si>
  <si>
    <t>menor a 1Ha</t>
  </si>
  <si>
    <t>De 1 a 5Ha</t>
  </si>
  <si>
    <t>mayores a 5Ha</t>
  </si>
  <si>
    <t>% TOLERANCIA APLICADA</t>
  </si>
  <si>
    <t>URBANO (m²)</t>
  </si>
  <si>
    <t>RURAL (m²)</t>
  </si>
  <si>
    <t>DIFERENCIA DE AREA</t>
  </si>
  <si>
    <t>TABLA % DE TOLERANCIA EN ZONAS URBANAS Y RURALES</t>
  </si>
  <si>
    <t>REFERENCIA DE MEDIDAS</t>
  </si>
  <si>
    <t>UNIDAD</t>
  </si>
  <si>
    <t>MEDIDA</t>
  </si>
  <si>
    <t>MANZANA</t>
  </si>
  <si>
    <t>HECTAREA</t>
  </si>
  <si>
    <t xml:space="preserve">VALOR MINIMO </t>
  </si>
  <si>
    <t>VALOR MAXIMO</t>
  </si>
  <si>
    <t>DE VARAS A M²</t>
  </si>
  <si>
    <t>DE HECTAREAS A M²</t>
  </si>
  <si>
    <t>CONVERTIR</t>
  </si>
  <si>
    <t>M²</t>
  </si>
  <si>
    <t>INGRESE CONFORME MEDIDA A CALCULAR</t>
  </si>
  <si>
    <t xml:space="preserve">INGRESE EN M², AREA CATASTRAL  DE LA PARCELA </t>
  </si>
  <si>
    <t xml:space="preserve">INGRESE EN M², AREA REGISTRAL DE LA PARCELA </t>
  </si>
  <si>
    <t>VARA CUADRADA</t>
  </si>
  <si>
    <t>TABLA DE CONVERSION PARA SUPERFICIE DE AREA</t>
  </si>
  <si>
    <t>UNIDAD DE MEDIDA RESULTANTE</t>
  </si>
  <si>
    <t>CABALLERIA</t>
  </si>
  <si>
    <t>MANZANAS</t>
  </si>
  <si>
    <t>HECTAREAS</t>
  </si>
  <si>
    <t>V²</t>
  </si>
  <si>
    <t>DE MANZANAS A M²</t>
  </si>
  <si>
    <t>DE MANZANAS A V²</t>
  </si>
  <si>
    <t>DE CABALLERIAS A MANZANAS</t>
  </si>
  <si>
    <t>RESPUESTA</t>
  </si>
  <si>
    <t>DE HECTAREAS A MANZANAS</t>
  </si>
  <si>
    <t>DE M² A HECTAREAS</t>
  </si>
  <si>
    <t>DE CABALLERIAS A HECTAREAS</t>
  </si>
  <si>
    <t>HA</t>
  </si>
  <si>
    <t>DE M² A VARAS</t>
  </si>
  <si>
    <t>METRO CUADRADO</t>
  </si>
  <si>
    <t>AREA MINIMA ACEPTADA</t>
  </si>
  <si>
    <t>AREA MAXIMA  ACEPTADA</t>
  </si>
  <si>
    <t>% TOLERANCIA ACDL O MENSURA</t>
  </si>
  <si>
    <t>RANGO DE TOLERANCIA ADCL</t>
  </si>
  <si>
    <t>Del 2.6 al 25 %</t>
  </si>
  <si>
    <t>Del 2.1 al 20 %</t>
  </si>
  <si>
    <t>Del 1.1 al 15 %</t>
  </si>
  <si>
    <t>Del 6.6 al 30%</t>
  </si>
  <si>
    <t>Del 3.1 al 25%</t>
  </si>
  <si>
    <r>
      <t xml:space="preserve">OBSERVACION: </t>
    </r>
    <r>
      <rPr>
        <sz val="12"/>
        <color theme="1"/>
        <rFont val="BankGothic Lt BT"/>
        <family val="2"/>
      </rPr>
      <t>Unicamente  se debe editar en los campos de color verde, tome en cuenta que debe ser usado con numeros de acuerdo al tipo de dato a calcular en un tipo de rango de datos. Los campos de otro color tienen formula para calcular resultados y fue bloqueado su contenido con el proposito de evitar ser borrado por algun tipo de error involuntario.</t>
    </r>
  </si>
  <si>
    <t>De 0 a 200 m²</t>
  </si>
  <si>
    <t>De 200 a 1000 m²</t>
  </si>
  <si>
    <t>mayor a 1000 m²</t>
  </si>
  <si>
    <t>AREA MAXIMA PARA ACTA DE CONFORMIDAD DE LINDEROS</t>
  </si>
  <si>
    <t>DIFERENCIA DE AREA ENTRE CATASTRO Y REGISTRO</t>
  </si>
  <si>
    <t>DE PULGADAS A VARA ²</t>
  </si>
  <si>
    <t>DE PIE A VARA ²</t>
  </si>
  <si>
    <t>PULGADA CUADRADA</t>
  </si>
  <si>
    <t>PIE CUADRADO</t>
  </si>
  <si>
    <t>Ingrese el NC para Calcular Centroide X y Y</t>
  </si>
  <si>
    <t>Centroide X</t>
  </si>
  <si>
    <t>Centroide Y</t>
  </si>
  <si>
    <t>TABLA PARA CALCULAR COORDENADAS X y Y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</si>
  <si>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Esta funcionalidad se usa únicamente, si en ventanilla, no fue posible realiza la ubicación de la parcela por NC. Los NC estan compuestos por 14 digitos, Copie y Pegue las coordenadas Centroide X y Y respectivamente en SIICAR VENTANILLA.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</si>
</sst>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BankGothic Lt BT"/>
      <family val="2"/>
    </font>
    <font>
      <b/>
      <sz val="12"/>
      <color theme="0"/>
      <name val="BankGothic Lt BT"/>
      <family val="2"/>
    </font>
    <font>
      <sz val="12"/>
      <color theme="1"/>
      <name val="Calibri"/>
      <family val="2"/>
      <scheme val="minor"/>
    </font>
    <font>
      <sz val="12"/>
      <color theme="1"/>
      <name val="BankGothic Lt BT"/>
      <family val="2"/>
    </font>
    <font>
      <b/>
      <sz val="12"/>
      <color theme="1"/>
      <name val="BankGothic Lt BT"/>
      <family val="2"/>
    </font>
    <font>
      <b/>
      <sz val="12"/>
      <color theme="1"/>
      <name val="Arial Black"/>
      <family val="2"/>
    </font>
    <font>
      <b/>
      <sz val="12"/>
      <color theme="0"/>
      <name val="BankGothic Lt BT"/>
      <family val="2"/>
    </font>
    <font>
      <sz val="12"/>
      <color theme="9" tint="-0.499984740745262"/>
      <name val="BankGothic Lt BT"/>
      <family val="2"/>
    </font>
    <font>
      <sz val="12"/>
      <color theme="9" tint="-0.499984740745262"/>
      <name val="Calibri"/>
      <family val="2"/>
      <scheme val="minor"/>
    </font>
    <font>
      <b/>
      <sz val="12"/>
      <color theme="4" tint="-0.249977111117893"/>
      <name val="BankGothic Lt BT"/>
      <family val="2"/>
    </font>
    <font>
      <b/>
      <sz val="12"/>
      <name val="BankGothic Lt BT"/>
      <family val="2"/>
    </font>
    <font>
      <sz val="12"/>
      <color theme="9" tint="-0.499984740745262"/>
      <name val="BankGothic Lt BT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Arial Black"/>
      <family val="2"/>
    </font>
    <font>
      <b/>
      <sz val="12"/>
      <color theme="0"/>
      <name val="BankGothic Lt BT"/>
    </font>
    <font>
      <b/>
      <sz val="11"/>
      <name val="BankGothic Lt BT"/>
    </font>
    <font>
      <b/>
      <sz val="12"/>
      <color theme="4" tint="-0.249977111117893"/>
      <name val="BankGothic Lt BT"/>
    </font>
  </fonts>
  <fills count="1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112">
    <xf numFmtId="0" fontId="0" fillId="0" borderId="0" xfId="0"/>
    <xf numFmtId="0" fontId="8" fillId="5" borderId="13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2" fontId="10" fillId="7" borderId="31" xfId="0" applyNumberFormat="1" applyFont="1" applyFill="1" applyBorder="1" applyAlignment="1">
      <alignment horizontal="center" vertical="center"/>
    </xf>
    <xf numFmtId="2" fontId="10" fillId="7" borderId="13" xfId="0" applyNumberFormat="1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2" fontId="10" fillId="7" borderId="32" xfId="0" applyNumberFormat="1" applyFont="1" applyFill="1" applyBorder="1" applyAlignment="1">
      <alignment horizontal="center" vertical="center"/>
    </xf>
    <xf numFmtId="2" fontId="10" fillId="7" borderId="40" xfId="0" applyNumberFormat="1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37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8" fillId="5" borderId="38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10" fillId="7" borderId="20" xfId="0" applyNumberFormat="1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2" fontId="10" fillId="6" borderId="20" xfId="0" applyNumberFormat="1" applyFont="1" applyFill="1" applyBorder="1" applyAlignment="1">
      <alignment horizontal="center" vertical="center"/>
    </xf>
    <xf numFmtId="2" fontId="10" fillId="3" borderId="10" xfId="0" applyNumberFormat="1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8" fillId="5" borderId="16" xfId="0" applyNumberFormat="1" applyFont="1" applyFill="1" applyBorder="1" applyAlignment="1">
      <alignment horizontal="center" vertical="center"/>
    </xf>
    <xf numFmtId="2" fontId="10" fillId="6" borderId="25" xfId="0" applyNumberFormat="1" applyFont="1" applyFill="1" applyBorder="1" applyAlignment="1">
      <alignment horizontal="center" vertical="center"/>
    </xf>
    <xf numFmtId="2" fontId="10" fillId="3" borderId="13" xfId="0" applyNumberFormat="1" applyFont="1" applyFill="1" applyBorder="1" applyAlignment="1">
      <alignment horizontal="center" vertical="center"/>
    </xf>
    <xf numFmtId="2" fontId="10" fillId="7" borderId="33" xfId="0" applyNumberFormat="1" applyFont="1" applyFill="1" applyBorder="1" applyAlignment="1">
      <alignment horizontal="center" vertical="center"/>
    </xf>
    <xf numFmtId="2" fontId="10" fillId="7" borderId="21" xfId="0" applyNumberFormat="1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65" fontId="8" fillId="5" borderId="17" xfId="0" applyNumberFormat="1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2" fontId="10" fillId="6" borderId="12" xfId="0" applyNumberFormat="1" applyFont="1" applyFill="1" applyBorder="1" applyAlignment="1">
      <alignment horizontal="center" vertical="center"/>
    </xf>
    <xf numFmtId="2" fontId="10" fillId="3" borderId="11" xfId="0" applyNumberFormat="1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165" fontId="8" fillId="5" borderId="18" xfId="0" applyNumberFormat="1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2" fontId="10" fillId="3" borderId="2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5" borderId="13" xfId="0" applyNumberFormat="1" applyFont="1" applyFill="1" applyBorder="1" applyAlignment="1">
      <alignment horizontal="center" vertical="center"/>
    </xf>
    <xf numFmtId="2" fontId="12" fillId="5" borderId="11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2" fontId="10" fillId="7" borderId="25" xfId="0" applyNumberFormat="1" applyFont="1" applyFill="1" applyBorder="1" applyAlignment="1">
      <alignment horizontal="center" vertical="center"/>
    </xf>
    <xf numFmtId="166" fontId="10" fillId="7" borderId="31" xfId="0" applyNumberFormat="1" applyFont="1" applyFill="1" applyBorder="1" applyAlignment="1">
      <alignment horizontal="center" vertical="center"/>
    </xf>
    <xf numFmtId="166" fontId="10" fillId="7" borderId="13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1" fillId="0" borderId="0" xfId="0" applyFont="1"/>
    <xf numFmtId="1" fontId="17" fillId="10" borderId="10" xfId="1" applyNumberFormat="1" applyFont="1" applyFill="1" applyBorder="1" applyAlignment="1">
      <alignment horizontal="center" vertical="center" wrapText="1"/>
    </xf>
    <xf numFmtId="0" fontId="17" fillId="10" borderId="10" xfId="1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7" fillId="11" borderId="0" xfId="1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49" fontId="18" fillId="4" borderId="8" xfId="0" applyNumberFormat="1" applyFont="1" applyFill="1" applyBorder="1" applyAlignment="1" applyProtection="1">
      <alignment horizontal="center" vertical="center"/>
      <protection locked="0"/>
    </xf>
    <xf numFmtId="0" fontId="19" fillId="5" borderId="8" xfId="0" applyFont="1" applyFill="1" applyBorder="1" applyAlignment="1" applyProtection="1">
      <alignment horizontal="center" vertical="center"/>
      <protection locked="0"/>
    </xf>
    <xf numFmtId="0" fontId="11" fillId="4" borderId="10" xfId="0" applyFont="1" applyFill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 applyProtection="1">
      <alignment horizontal="center" vertical="center"/>
      <protection locked="0"/>
    </xf>
    <xf numFmtId="0" fontId="11" fillId="4" borderId="25" xfId="0" applyFont="1" applyFill="1" applyBorder="1" applyAlignment="1" applyProtection="1">
      <alignment horizontal="center"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0" fontId="11" fillId="4" borderId="39" xfId="0" applyFont="1" applyFill="1" applyBorder="1" applyAlignment="1" applyProtection="1">
      <alignment horizontal="center" vertical="center"/>
      <protection locked="0"/>
    </xf>
    <xf numFmtId="0" fontId="11" fillId="4" borderId="21" xfId="0" applyFont="1" applyFill="1" applyBorder="1" applyAlignment="1" applyProtection="1">
      <alignment horizontal="center" vertical="center"/>
      <protection locked="0"/>
    </xf>
    <xf numFmtId="2" fontId="11" fillId="4" borderId="23" xfId="0" applyNumberFormat="1" applyFont="1" applyFill="1" applyBorder="1" applyAlignment="1" applyProtection="1">
      <alignment horizontal="center" vertical="center"/>
      <protection locked="0"/>
    </xf>
    <xf numFmtId="2" fontId="11" fillId="4" borderId="1" xfId="0" applyNumberFormat="1" applyFont="1" applyFill="1" applyBorder="1" applyAlignment="1" applyProtection="1">
      <alignment horizontal="center" vertical="center"/>
      <protection locked="0"/>
    </xf>
    <xf numFmtId="2" fontId="11" fillId="4" borderId="7" xfId="0" applyNumberFormat="1" applyFont="1" applyFill="1" applyBorder="1" applyAlignment="1" applyProtection="1">
      <alignment horizontal="center" vertical="center"/>
      <protection locked="0"/>
    </xf>
    <xf numFmtId="2" fontId="11" fillId="4" borderId="3" xfId="0" applyNumberFormat="1" applyFont="1" applyFill="1" applyBorder="1" applyAlignment="1" applyProtection="1">
      <alignment horizontal="center" vertical="center"/>
      <protection locked="0"/>
    </xf>
    <xf numFmtId="164" fontId="11" fillId="4" borderId="6" xfId="0" applyNumberFormat="1" applyFont="1" applyFill="1" applyBorder="1" applyAlignment="1" applyProtection="1">
      <alignment horizontal="center" vertical="center"/>
      <protection locked="0"/>
    </xf>
    <xf numFmtId="0" fontId="8" fillId="5" borderId="4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5" borderId="43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 wrapText="1"/>
    </xf>
    <xf numFmtId="0" fontId="16" fillId="9" borderId="2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8" fillId="5" borderId="45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horizontal="center" vertical="center"/>
    </xf>
  </cellXfs>
  <cellStyles count="2">
    <cellStyle name="Normal" xfId="0" builtinId="0"/>
    <cellStyle name="Normal_GraficoXY" xfId="1" xr:uid="{81E6F5D6-A7A8-4157-BBBD-AB844FEC0A1E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tabSelected="1" topLeftCell="C4" zoomScale="70" zoomScaleNormal="70" workbookViewId="0">
      <selection activeCell="F26" sqref="F26"/>
    </sheetView>
  </sheetViews>
  <sheetFormatPr baseColWidth="10" defaultRowHeight="15.75" x14ac:dyDescent="0.25"/>
  <cols>
    <col min="1" max="1" width="1.7109375" style="67" customWidth="1"/>
    <col min="2" max="2" width="50.140625" style="17" customWidth="1"/>
    <col min="3" max="3" width="24.7109375" style="17" customWidth="1"/>
    <col min="4" max="4" width="23.5703125" style="17" customWidth="1"/>
    <col min="5" max="5" width="22.42578125" style="17" customWidth="1"/>
    <col min="6" max="6" width="22" style="17" customWidth="1"/>
    <col min="7" max="7" width="17" style="17" hidden="1" customWidth="1"/>
    <col min="8" max="8" width="15.140625" style="17" customWidth="1"/>
    <col min="9" max="9" width="13.28515625" style="17" customWidth="1"/>
    <col min="10" max="10" width="19.140625" style="17" customWidth="1"/>
    <col min="11" max="11" width="19.42578125" style="17" customWidth="1"/>
    <col min="12" max="12" width="26.5703125" style="18" customWidth="1"/>
    <col min="13" max="13" width="25.5703125" style="18" customWidth="1"/>
    <col min="14" max="14" width="25" style="18" customWidth="1"/>
    <col min="15" max="15" width="25.5703125" style="18" customWidth="1"/>
  </cols>
  <sheetData>
    <row r="1" spans="1:15" ht="23.25" thickBot="1" x14ac:dyDescent="0.3">
      <c r="B1" s="96" t="s">
        <v>63</v>
      </c>
      <c r="C1" s="96"/>
      <c r="D1" s="96"/>
      <c r="F1" s="53"/>
      <c r="G1" s="53"/>
      <c r="O1" s="53"/>
    </row>
    <row r="2" spans="1:15" ht="32.25" thickBot="1" x14ac:dyDescent="0.3">
      <c r="B2" s="68" t="s">
        <v>60</v>
      </c>
      <c r="C2" s="69" t="s">
        <v>61</v>
      </c>
      <c r="D2" s="69" t="s">
        <v>62</v>
      </c>
      <c r="E2" s="75" t="s">
        <v>61</v>
      </c>
      <c r="F2" s="75" t="s">
        <v>62</v>
      </c>
      <c r="G2" s="53"/>
      <c r="O2" s="53"/>
    </row>
    <row r="3" spans="1:15" ht="20.25" thickBot="1" x14ac:dyDescent="0.3">
      <c r="B3" s="77"/>
      <c r="C3" s="78" t="str">
        <f>E3</f>
        <v>.00</v>
      </c>
      <c r="D3" s="78" t="str">
        <f>F3</f>
        <v>1.00</v>
      </c>
      <c r="E3" s="76" t="str">
        <f>((MID(B3,1,1))&amp;(MID(B3,3,1))&amp;(MID(B3,5,1))&amp;(MID(B3,7,1))&amp;(MID(B3,9,1))&amp;(MID(B3,11,1))&amp;(".00"))</f>
        <v>.00</v>
      </c>
      <c r="F3" s="76" t="str">
        <f>("1")&amp;(MID(B3,2,1))&amp;(MID(B3,4,1))&amp;(MID(B3,6,1))&amp;(MID(B3,8,1))&amp;(MID(B3,10,1))&amp;(MID(B3,12,1))&amp;(".00")</f>
        <v>1.00</v>
      </c>
      <c r="G3" s="53"/>
      <c r="O3" s="53"/>
    </row>
    <row r="4" spans="1:15" ht="9" customHeight="1" x14ac:dyDescent="0.25">
      <c r="A4" s="17"/>
      <c r="F4" s="53"/>
      <c r="G4" s="53"/>
      <c r="O4" s="53"/>
    </row>
    <row r="5" spans="1:15" ht="21" customHeight="1" x14ac:dyDescent="0.25">
      <c r="B5" s="95" t="s">
        <v>64</v>
      </c>
      <c r="C5" s="95"/>
      <c r="D5" s="95"/>
      <c r="F5" s="53"/>
      <c r="G5" s="53"/>
      <c r="O5" s="53"/>
    </row>
    <row r="6" spans="1:15" ht="26.25" customHeight="1" x14ac:dyDescent="0.25">
      <c r="B6" s="95"/>
      <c r="C6" s="95"/>
      <c r="D6" s="95"/>
      <c r="F6" s="53"/>
      <c r="G6" s="53"/>
      <c r="O6" s="53"/>
    </row>
    <row r="7" spans="1:15" ht="19.5" x14ac:dyDescent="0.25">
      <c r="A7" s="17"/>
      <c r="F7" s="53"/>
      <c r="G7" s="53"/>
      <c r="O7" s="53"/>
    </row>
    <row r="8" spans="1:15" ht="20.25" thickBot="1" x14ac:dyDescent="0.3">
      <c r="B8" s="92" t="s">
        <v>25</v>
      </c>
      <c r="C8" s="92"/>
      <c r="D8" s="92"/>
      <c r="E8" s="92"/>
      <c r="F8" s="53"/>
      <c r="G8" s="53"/>
      <c r="H8" s="92" t="s">
        <v>10</v>
      </c>
      <c r="I8" s="92"/>
      <c r="J8" s="92"/>
      <c r="K8" s="92"/>
      <c r="L8" s="92"/>
    </row>
    <row r="9" spans="1:15" ht="67.5" customHeight="1" thickBot="1" x14ac:dyDescent="0.3">
      <c r="B9" s="66" t="s">
        <v>19</v>
      </c>
      <c r="C9" s="66" t="s">
        <v>21</v>
      </c>
      <c r="D9" s="66" t="s">
        <v>34</v>
      </c>
      <c r="E9" s="3" t="s">
        <v>26</v>
      </c>
      <c r="H9" s="10" t="s">
        <v>11</v>
      </c>
      <c r="I9" s="108" t="s">
        <v>12</v>
      </c>
      <c r="J9" s="109"/>
      <c r="K9" s="102" t="s">
        <v>26</v>
      </c>
      <c r="L9" s="103"/>
    </row>
    <row r="10" spans="1:15" ht="15" customHeight="1" x14ac:dyDescent="0.25">
      <c r="B10" s="71" t="s">
        <v>56</v>
      </c>
      <c r="C10" s="79"/>
      <c r="D10" s="64">
        <f xml:space="preserve"> C10*K10</f>
        <v>0</v>
      </c>
      <c r="E10" s="6" t="s">
        <v>30</v>
      </c>
      <c r="H10" s="11">
        <v>1</v>
      </c>
      <c r="I10" s="93" t="s">
        <v>58</v>
      </c>
      <c r="J10" s="94"/>
      <c r="K10" s="12">
        <v>9.2330000000000005E-4</v>
      </c>
      <c r="L10" s="59" t="s">
        <v>30</v>
      </c>
    </row>
    <row r="11" spans="1:15" ht="15" customHeight="1" x14ac:dyDescent="0.25">
      <c r="B11" s="1" t="s">
        <v>57</v>
      </c>
      <c r="C11" s="80"/>
      <c r="D11" s="65">
        <f xml:space="preserve"> C11*K11</f>
        <v>0</v>
      </c>
      <c r="E11" s="6" t="s">
        <v>30</v>
      </c>
      <c r="H11" s="72">
        <v>1</v>
      </c>
      <c r="I11" s="90" t="s">
        <v>59</v>
      </c>
      <c r="J11" s="91"/>
      <c r="K11" s="13">
        <v>0.13223088</v>
      </c>
      <c r="L11" s="14" t="s">
        <v>30</v>
      </c>
    </row>
    <row r="12" spans="1:15" ht="15" customHeight="1" x14ac:dyDescent="0.25">
      <c r="B12" s="70" t="s">
        <v>17</v>
      </c>
      <c r="C12" s="81"/>
      <c r="D12" s="63">
        <f xml:space="preserve"> C12/K12</f>
        <v>0</v>
      </c>
      <c r="E12" s="58" t="s">
        <v>20</v>
      </c>
      <c r="H12" s="60">
        <v>1</v>
      </c>
      <c r="I12" s="110" t="s">
        <v>24</v>
      </c>
      <c r="J12" s="111"/>
      <c r="K12" s="61">
        <v>1.418415</v>
      </c>
      <c r="L12" s="62" t="s">
        <v>20</v>
      </c>
    </row>
    <row r="13" spans="1:15" ht="15" customHeight="1" x14ac:dyDescent="0.25">
      <c r="B13" s="1" t="s">
        <v>39</v>
      </c>
      <c r="C13" s="82"/>
      <c r="D13" s="5">
        <f xml:space="preserve"> C13*K13</f>
        <v>0</v>
      </c>
      <c r="E13" s="6" t="s">
        <v>30</v>
      </c>
      <c r="H13" s="72">
        <v>1</v>
      </c>
      <c r="I13" s="90" t="s">
        <v>40</v>
      </c>
      <c r="J13" s="91"/>
      <c r="K13" s="13">
        <v>1.418415</v>
      </c>
      <c r="L13" s="14" t="s">
        <v>30</v>
      </c>
    </row>
    <row r="14" spans="1:15" x14ac:dyDescent="0.25">
      <c r="B14" s="1" t="s">
        <v>31</v>
      </c>
      <c r="C14" s="83"/>
      <c r="D14" s="7">
        <f xml:space="preserve"> C14*K14</f>
        <v>0</v>
      </c>
      <c r="E14" s="6" t="s">
        <v>20</v>
      </c>
      <c r="H14" s="72">
        <v>1</v>
      </c>
      <c r="I14" s="90" t="s">
        <v>13</v>
      </c>
      <c r="J14" s="91"/>
      <c r="K14" s="13">
        <v>7050.1228483906298</v>
      </c>
      <c r="L14" s="14" t="s">
        <v>20</v>
      </c>
    </row>
    <row r="15" spans="1:15" x14ac:dyDescent="0.25">
      <c r="B15" s="1" t="s">
        <v>32</v>
      </c>
      <c r="C15" s="80"/>
      <c r="D15" s="7">
        <f xml:space="preserve"> C15*K15</f>
        <v>0</v>
      </c>
      <c r="E15" s="6" t="s">
        <v>30</v>
      </c>
      <c r="H15" s="1">
        <v>1</v>
      </c>
      <c r="I15" s="90" t="s">
        <v>13</v>
      </c>
      <c r="J15" s="91"/>
      <c r="K15" s="13">
        <v>10000</v>
      </c>
      <c r="L15" s="14" t="s">
        <v>30</v>
      </c>
    </row>
    <row r="16" spans="1:15" x14ac:dyDescent="0.25">
      <c r="B16" s="1" t="s">
        <v>18</v>
      </c>
      <c r="C16" s="80"/>
      <c r="D16" s="7">
        <f xml:space="preserve"> C16*K16</f>
        <v>0</v>
      </c>
      <c r="E16" s="6" t="s">
        <v>20</v>
      </c>
      <c r="H16" s="1">
        <v>1</v>
      </c>
      <c r="I16" s="104" t="s">
        <v>14</v>
      </c>
      <c r="J16" s="105"/>
      <c r="K16" s="13">
        <v>10000</v>
      </c>
      <c r="L16" s="14" t="s">
        <v>20</v>
      </c>
    </row>
    <row r="17" spans="2:15" x14ac:dyDescent="0.25">
      <c r="B17" s="1" t="s">
        <v>36</v>
      </c>
      <c r="C17" s="80"/>
      <c r="D17" s="7">
        <f xml:space="preserve"> C17/K17</f>
        <v>0</v>
      </c>
      <c r="E17" s="6" t="s">
        <v>38</v>
      </c>
      <c r="H17" s="1">
        <v>1</v>
      </c>
      <c r="I17" s="104" t="s">
        <v>14</v>
      </c>
      <c r="J17" s="105"/>
      <c r="K17" s="13">
        <v>10000</v>
      </c>
      <c r="L17" s="14" t="s">
        <v>29</v>
      </c>
    </row>
    <row r="18" spans="2:15" x14ac:dyDescent="0.25">
      <c r="B18" s="1" t="s">
        <v>35</v>
      </c>
      <c r="C18" s="80"/>
      <c r="D18" s="7">
        <f xml:space="preserve"> C18*K18</f>
        <v>0</v>
      </c>
      <c r="E18" s="6" t="s">
        <v>28</v>
      </c>
      <c r="H18" s="1">
        <v>1</v>
      </c>
      <c r="I18" s="104" t="s">
        <v>14</v>
      </c>
      <c r="J18" s="105"/>
      <c r="K18" s="13">
        <v>1.418415</v>
      </c>
      <c r="L18" s="14" t="s">
        <v>28</v>
      </c>
    </row>
    <row r="19" spans="2:15" x14ac:dyDescent="0.25">
      <c r="B19" s="1" t="s">
        <v>33</v>
      </c>
      <c r="C19" s="80"/>
      <c r="D19" s="7">
        <f xml:space="preserve"> C19*K19</f>
        <v>0</v>
      </c>
      <c r="E19" s="6" t="s">
        <v>28</v>
      </c>
      <c r="H19" s="1">
        <v>1</v>
      </c>
      <c r="I19" s="90" t="s">
        <v>27</v>
      </c>
      <c r="J19" s="91"/>
      <c r="K19" s="13">
        <v>64.581612500000006</v>
      </c>
      <c r="L19" s="14" t="s">
        <v>28</v>
      </c>
    </row>
    <row r="20" spans="2:15" ht="16.5" thickBot="1" x14ac:dyDescent="0.3">
      <c r="B20" s="2" t="s">
        <v>37</v>
      </c>
      <c r="C20" s="84"/>
      <c r="D20" s="8">
        <f xml:space="preserve"> C20*K20</f>
        <v>0</v>
      </c>
      <c r="E20" s="9" t="s">
        <v>38</v>
      </c>
      <c r="H20" s="2">
        <v>1</v>
      </c>
      <c r="I20" s="106" t="s">
        <v>27</v>
      </c>
      <c r="J20" s="107"/>
      <c r="K20" s="15">
        <v>45.530830187215997</v>
      </c>
      <c r="L20" s="16" t="s">
        <v>29</v>
      </c>
    </row>
    <row r="22" spans="2:15" ht="16.5" thickBot="1" x14ac:dyDescent="0.3">
      <c r="B22" s="101" t="s">
        <v>9</v>
      </c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</row>
    <row r="23" spans="2:15" ht="86.25" customHeight="1" thickBot="1" x14ac:dyDescent="0.3">
      <c r="B23" s="48" t="s">
        <v>0</v>
      </c>
      <c r="C23" s="49" t="s">
        <v>1</v>
      </c>
      <c r="D23" s="52" t="s">
        <v>44</v>
      </c>
      <c r="E23" s="50" t="s">
        <v>23</v>
      </c>
      <c r="F23" s="50" t="s">
        <v>22</v>
      </c>
      <c r="G23" s="49" t="s">
        <v>8</v>
      </c>
      <c r="H23" s="49" t="s">
        <v>15</v>
      </c>
      <c r="I23" s="49" t="s">
        <v>16</v>
      </c>
      <c r="J23" s="49" t="s">
        <v>5</v>
      </c>
      <c r="K23" s="49" t="s">
        <v>43</v>
      </c>
      <c r="L23" s="51" t="s">
        <v>55</v>
      </c>
      <c r="M23" s="49" t="s">
        <v>41</v>
      </c>
      <c r="N23" s="52" t="s">
        <v>42</v>
      </c>
      <c r="O23" s="52" t="s">
        <v>54</v>
      </c>
    </row>
    <row r="24" spans="2:15" x14ac:dyDescent="0.25">
      <c r="B24" s="98" t="s">
        <v>6</v>
      </c>
      <c r="C24" s="20" t="s">
        <v>51</v>
      </c>
      <c r="D24" s="54" t="s">
        <v>45</v>
      </c>
      <c r="E24" s="85">
        <v>181.65</v>
      </c>
      <c r="F24" s="85">
        <v>186.38</v>
      </c>
      <c r="G24" s="4">
        <f>E24-F24</f>
        <v>-4.7299999999999898</v>
      </c>
      <c r="H24" s="20">
        <f>E24*-0.025</f>
        <v>-4.5412500000000007</v>
      </c>
      <c r="I24" s="21">
        <f>E24*0.025</f>
        <v>4.5412500000000007</v>
      </c>
      <c r="J24" s="22">
        <v>2.5</v>
      </c>
      <c r="K24" s="23">
        <v>25</v>
      </c>
      <c r="L24" s="19">
        <f t="shared" ref="L24:L29" si="0">IF(G24 &lt; 0,G24*-1,G24*1)</f>
        <v>4.7299999999999898</v>
      </c>
      <c r="M24" s="24">
        <f t="shared" ref="M24:M29" si="1">E24+H24</f>
        <v>177.10875000000001</v>
      </c>
      <c r="N24" s="24">
        <f t="shared" ref="N24:N29" si="2">E24+I24</f>
        <v>186.19125</v>
      </c>
      <c r="O24" s="25">
        <f t="shared" ref="O24:O29" si="3">((E24/100)*K24)+E24</f>
        <v>227.0625</v>
      </c>
    </row>
    <row r="25" spans="2:15" x14ac:dyDescent="0.25">
      <c r="B25" s="98"/>
      <c r="C25" s="26" t="s">
        <v>52</v>
      </c>
      <c r="D25" s="55" t="s">
        <v>46</v>
      </c>
      <c r="E25" s="86">
        <v>410</v>
      </c>
      <c r="F25" s="86">
        <v>403</v>
      </c>
      <c r="G25" s="7">
        <f t="shared" ref="G25:G29" si="4">E25-F25</f>
        <v>7</v>
      </c>
      <c r="H25" s="26">
        <f>E25*-0.02</f>
        <v>-8.1999999999999993</v>
      </c>
      <c r="I25" s="27">
        <f>E25*0.02</f>
        <v>8.1999999999999993</v>
      </c>
      <c r="J25" s="28">
        <v>2</v>
      </c>
      <c r="K25" s="23">
        <v>20</v>
      </c>
      <c r="L25" s="5">
        <f t="shared" si="0"/>
        <v>7</v>
      </c>
      <c r="M25" s="29">
        <f t="shared" si="1"/>
        <v>401.8</v>
      </c>
      <c r="N25" s="29">
        <f t="shared" si="2"/>
        <v>418.2</v>
      </c>
      <c r="O25" s="30">
        <f t="shared" si="3"/>
        <v>492</v>
      </c>
    </row>
    <row r="26" spans="2:15" ht="16.5" thickBot="1" x14ac:dyDescent="0.3">
      <c r="B26" s="99"/>
      <c r="C26" s="33" t="s">
        <v>53</v>
      </c>
      <c r="D26" s="56" t="s">
        <v>47</v>
      </c>
      <c r="E26" s="87"/>
      <c r="F26" s="87"/>
      <c r="G26" s="31">
        <f t="shared" si="4"/>
        <v>0</v>
      </c>
      <c r="H26" s="33">
        <f>E26*-0.01</f>
        <v>0</v>
      </c>
      <c r="I26" s="34">
        <f>E26*0.01</f>
        <v>0</v>
      </c>
      <c r="J26" s="35">
        <v>1</v>
      </c>
      <c r="K26" s="36">
        <v>15</v>
      </c>
      <c r="L26" s="32">
        <f t="shared" si="0"/>
        <v>0</v>
      </c>
      <c r="M26" s="37">
        <f t="shared" si="1"/>
        <v>0</v>
      </c>
      <c r="N26" s="37">
        <f t="shared" si="2"/>
        <v>0</v>
      </c>
      <c r="O26" s="38">
        <f t="shared" si="3"/>
        <v>0</v>
      </c>
    </row>
    <row r="27" spans="2:15" x14ac:dyDescent="0.25">
      <c r="B27" s="100" t="s">
        <v>7</v>
      </c>
      <c r="C27" s="47" t="s">
        <v>2</v>
      </c>
      <c r="D27" s="54" t="s">
        <v>48</v>
      </c>
      <c r="E27" s="88">
        <v>6673.94</v>
      </c>
      <c r="F27" s="88">
        <v>6915</v>
      </c>
      <c r="G27" s="4">
        <f t="shared" si="4"/>
        <v>-241.0600000000004</v>
      </c>
      <c r="H27" s="39">
        <f>E27*-0.075</f>
        <v>-500.54549999999995</v>
      </c>
      <c r="I27" s="40">
        <f>E27*0.075</f>
        <v>500.54549999999995</v>
      </c>
      <c r="J27" s="41">
        <v>7.5</v>
      </c>
      <c r="K27" s="41">
        <v>30</v>
      </c>
      <c r="L27" s="19">
        <f t="shared" si="0"/>
        <v>241.0600000000004</v>
      </c>
      <c r="M27" s="24">
        <f t="shared" si="1"/>
        <v>6173.3944999999994</v>
      </c>
      <c r="N27" s="24">
        <f t="shared" si="2"/>
        <v>7174.4854999999998</v>
      </c>
      <c r="O27" s="25">
        <f t="shared" si="3"/>
        <v>8676.1219999999994</v>
      </c>
    </row>
    <row r="28" spans="2:15" x14ac:dyDescent="0.25">
      <c r="B28" s="98"/>
      <c r="C28" s="74" t="s">
        <v>3</v>
      </c>
      <c r="D28" s="55" t="s">
        <v>48</v>
      </c>
      <c r="E28" s="86">
        <v>21151</v>
      </c>
      <c r="F28" s="86">
        <v>20002</v>
      </c>
      <c r="G28" s="7">
        <f t="shared" si="4"/>
        <v>1149</v>
      </c>
      <c r="H28" s="26">
        <f>E28*-0.065</f>
        <v>-1374.8150000000001</v>
      </c>
      <c r="I28" s="27">
        <f>E28*0.065</f>
        <v>1374.8150000000001</v>
      </c>
      <c r="J28" s="28">
        <v>6.5</v>
      </c>
      <c r="K28" s="23">
        <v>30</v>
      </c>
      <c r="L28" s="5">
        <f t="shared" si="0"/>
        <v>1149</v>
      </c>
      <c r="M28" s="29">
        <f t="shared" si="1"/>
        <v>19776.185000000001</v>
      </c>
      <c r="N28" s="29">
        <f t="shared" si="2"/>
        <v>22525.814999999999</v>
      </c>
      <c r="O28" s="30">
        <f t="shared" si="3"/>
        <v>27496.3</v>
      </c>
    </row>
    <row r="29" spans="2:15" ht="16.5" thickBot="1" x14ac:dyDescent="0.3">
      <c r="B29" s="99"/>
      <c r="C29" s="73" t="s">
        <v>4</v>
      </c>
      <c r="D29" s="57" t="s">
        <v>49</v>
      </c>
      <c r="E29" s="89">
        <v>434861.74</v>
      </c>
      <c r="F29" s="89">
        <v>456611.64</v>
      </c>
      <c r="G29" s="8">
        <f t="shared" si="4"/>
        <v>-21749.900000000023</v>
      </c>
      <c r="H29" s="42">
        <f>E29*-0.03</f>
        <v>-13045.852199999999</v>
      </c>
      <c r="I29" s="43">
        <f>E29*0.03</f>
        <v>13045.852199999999</v>
      </c>
      <c r="J29" s="44">
        <v>3</v>
      </c>
      <c r="K29" s="45">
        <v>25</v>
      </c>
      <c r="L29" s="32">
        <f t="shared" si="0"/>
        <v>21749.900000000023</v>
      </c>
      <c r="M29" s="37">
        <f t="shared" si="1"/>
        <v>421815.88779999997</v>
      </c>
      <c r="N29" s="37">
        <f t="shared" si="2"/>
        <v>447907.59220000001</v>
      </c>
      <c r="O29" s="46">
        <f t="shared" si="3"/>
        <v>543577.17500000005</v>
      </c>
    </row>
    <row r="31" spans="2:15" ht="37.5" customHeight="1" x14ac:dyDescent="0.25">
      <c r="B31" s="97" t="s">
        <v>50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</row>
  </sheetData>
  <sheetProtection password="8628" sheet="1" objects="1" scenarios="1" selectLockedCells="1"/>
  <protectedRanges>
    <protectedRange sqref="E24:F29" name="Rango1"/>
  </protectedRanges>
  <mergeCells count="21">
    <mergeCell ref="B5:D6"/>
    <mergeCell ref="B8:E8"/>
    <mergeCell ref="B1:D1"/>
    <mergeCell ref="B31:O31"/>
    <mergeCell ref="B24:B26"/>
    <mergeCell ref="B27:B29"/>
    <mergeCell ref="B22:O22"/>
    <mergeCell ref="K9:L9"/>
    <mergeCell ref="I18:J18"/>
    <mergeCell ref="I20:J20"/>
    <mergeCell ref="I16:J16"/>
    <mergeCell ref="I15:J15"/>
    <mergeCell ref="I19:J19"/>
    <mergeCell ref="I17:J17"/>
    <mergeCell ref="I9:J9"/>
    <mergeCell ref="I12:J12"/>
    <mergeCell ref="I14:J14"/>
    <mergeCell ref="H8:L8"/>
    <mergeCell ref="I13:J13"/>
    <mergeCell ref="I10:J10"/>
    <mergeCell ref="I11:J11"/>
  </mergeCells>
  <phoneticPr fontId="1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CONVERSION Y TOLERANCIAS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GALEANO</dc:creator>
  <cp:lastModifiedBy>Bosco Morgan</cp:lastModifiedBy>
  <dcterms:created xsi:type="dcterms:W3CDTF">2015-10-20T16:49:44Z</dcterms:created>
  <dcterms:modified xsi:type="dcterms:W3CDTF">2025-02-24T03:05:32Z</dcterms:modified>
</cp:coreProperties>
</file>