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ografia\Desktop\JAIME ARANA GORLERO\"/>
    </mc:Choice>
  </mc:AlternateContent>
  <xr:revisionPtr revIDLastSave="0" documentId="13_ncr:1_{D22EEEA4-70ED-460C-BDB4-EBFFF67F3F3D}" xr6:coauthVersionLast="40" xr6:coauthVersionMax="40" xr10:uidLastSave="{00000000-0000-0000-0000-000000000000}"/>
  <bookViews>
    <workbookView xWindow="0" yWindow="0" windowWidth="6390" windowHeight="7515" activeTab="1" xr2:uid="{86F00FB2-F620-4AE5-9145-59A47EFB222B}"/>
  </bookViews>
  <sheets>
    <sheet name="DESMEMBRACIONES INSCRITAS" sheetId="1" r:id="rId1"/>
    <sheet name="LOTES A INSCRIBIR DELIA BARRA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2" l="1"/>
  <c r="C36" i="2"/>
  <c r="C3" i="1" l="1"/>
  <c r="C17" i="1"/>
</calcChain>
</file>

<file path=xl/sharedStrings.xml><?xml version="1.0" encoding="utf-8"?>
<sst xmlns="http://schemas.openxmlformats.org/spreadsheetml/2006/main" count="58" uniqueCount="52">
  <si>
    <t xml:space="preserve">ÁREA REGISTRAL </t>
  </si>
  <si>
    <t>m²</t>
  </si>
  <si>
    <t xml:space="preserve">DESMEMBRACIONES </t>
  </si>
  <si>
    <t xml:space="preserve">PROPIETARIO </t>
  </si>
  <si>
    <t xml:space="preserve">FINCA </t>
  </si>
  <si>
    <t xml:space="preserve">RESTO </t>
  </si>
  <si>
    <t xml:space="preserve">JORGE ALBERTO MORALES MEJIA Y EVANGELINA VELASQUES SABALLO </t>
  </si>
  <si>
    <t xml:space="preserve">ANA KAROLINA MERCADO RIVAS </t>
  </si>
  <si>
    <t xml:space="preserve">SOCORRO DEL CARMEN OBANDO Y ELIX CESAR RUIZ MORALES </t>
  </si>
  <si>
    <t>PERLA MARINA AGUILLAR, ALLAN JOSE AGUILAR</t>
  </si>
  <si>
    <t>PAULA URBINA GONZALEZ Y JUAN RAMON PIZARRO</t>
  </si>
  <si>
    <t>JESSIKA MARCIA BERMUDEZ</t>
  </si>
  <si>
    <t>EVELING DEL CARMEN TORREZ SOTELO</t>
  </si>
  <si>
    <t>TOTAL SEGREGADO</t>
  </si>
  <si>
    <t xml:space="preserve">LOTE </t>
  </si>
  <si>
    <t>LOTE 5</t>
  </si>
  <si>
    <t>ÁREA m²</t>
  </si>
  <si>
    <t>LOTE 6</t>
  </si>
  <si>
    <t>LOTE 7</t>
  </si>
  <si>
    <t>LOTE 8</t>
  </si>
  <si>
    <t>LOTE 9</t>
  </si>
  <si>
    <t>LOTE 10</t>
  </si>
  <si>
    <t>LOTE 11</t>
  </si>
  <si>
    <t>LOTE 13</t>
  </si>
  <si>
    <t>LOTE 18</t>
  </si>
  <si>
    <t>LOTE 19</t>
  </si>
  <si>
    <t>LOTE 20</t>
  </si>
  <si>
    <t>LOTE 21</t>
  </si>
  <si>
    <t>LOTE 22</t>
  </si>
  <si>
    <t>LOTE 23</t>
  </si>
  <si>
    <t>LOTE 24</t>
  </si>
  <si>
    <t>LOTE 25</t>
  </si>
  <si>
    <t>LOTE 28</t>
  </si>
  <si>
    <t>LOTE 29</t>
  </si>
  <si>
    <t>LOTE 30</t>
  </si>
  <si>
    <t>LOTE 32</t>
  </si>
  <si>
    <t>LOTE 33</t>
  </si>
  <si>
    <t>LOTE 34</t>
  </si>
  <si>
    <t>LOTE 35</t>
  </si>
  <si>
    <t>LOTE 36</t>
  </si>
  <si>
    <t>LOTE 37</t>
  </si>
  <si>
    <t>LOTE 38</t>
  </si>
  <si>
    <t>LOTE 39</t>
  </si>
  <si>
    <t>LOTE 40</t>
  </si>
  <si>
    <t>LOTE 41</t>
  </si>
  <si>
    <t>LOTE 42</t>
  </si>
  <si>
    <t>LOTE 43</t>
  </si>
  <si>
    <t>LOTE 44</t>
  </si>
  <si>
    <t xml:space="preserve">TOTAL </t>
  </si>
  <si>
    <t>ÁREA REGISTRAL</t>
  </si>
  <si>
    <t xml:space="preserve">LOTES DESMEMBRADOS A DELIA BARRAN </t>
  </si>
  <si>
    <t>ÁREA FLOTANTE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</si>
</sst>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164" fontId="1" fillId="0" borderId="0" xfId="0" applyNumberFormat="1" applyFont="1"/>
    <xf numFmtId="0" fontId="0" fillId="0" borderId="0" xfId="0" applyAlignment="1">
      <alignment horizontal="left" vertical="center" wrapText="1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left" vertical="center"/>
    </xf>
    <xf numFmtId="165" fontId="0" fillId="0" borderId="0" xfId="0" applyNumberFormat="1"/>
    <xf numFmtId="0" fontId="1" fillId="0" borderId="1" xfId="0" applyFont="1" applyBorder="1" applyAlignment="1">
      <alignment horizontal="left" vertical="center" wrapText="1"/>
    </xf>
    <xf numFmtId="1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 wrapText="1"/>
    </xf>
    <xf numFmtId="1" fontId="0" fillId="0" borderId="1" xfId="0" applyNumberFormat="1" applyFont="1" applyBorder="1" applyAlignment="1">
      <alignment horizontal="center" vertical="center"/>
    </xf>
    <xf numFmtId="165" fontId="0" fillId="0" borderId="1" xfId="0" applyNumberFormat="1" applyFont="1" applyBorder="1" applyAlignment="1">
      <alignment horizontal="left" vertical="center"/>
    </xf>
    <xf numFmtId="165" fontId="1" fillId="2" borderId="1" xfId="0" applyNumberFormat="1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165" fontId="4" fillId="0" borderId="1" xfId="0" applyNumberFormat="1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0" fontId="0" fillId="0" borderId="0" xfId="0" applyBorder="1"/>
    <xf numFmtId="0" fontId="1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/>
    </xf>
    <xf numFmtId="165" fontId="7" fillId="3" borderId="1" xfId="0" applyNumberFormat="1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165" fontId="6" fillId="5" borderId="1" xfId="0" applyNumberFormat="1" applyFont="1" applyFill="1" applyBorder="1" applyAlignment="1">
      <alignment horizontal="center" vertical="center"/>
    </xf>
    <xf numFmtId="165" fontId="0" fillId="0" borderId="0" xfId="0" applyNumberFormat="1" applyBorder="1"/>
    <xf numFmtId="164" fontId="1" fillId="6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5C2BC-4854-4A87-A6AA-43F00890CAAE}">
  <dimension ref="A1:D17"/>
  <sheetViews>
    <sheetView zoomScale="115" zoomScaleNormal="115" workbookViewId="0">
      <selection activeCell="C2" sqref="C2"/>
    </sheetView>
  </sheetViews>
  <sheetFormatPr baseColWidth="10" defaultRowHeight="15" x14ac:dyDescent="0.25"/>
  <cols>
    <col min="1" max="1" width="23.42578125" style="2" customWidth="1"/>
    <col min="2" max="2" width="13.7109375" style="3" customWidth="1"/>
    <col min="3" max="3" width="20.28515625" style="4" customWidth="1"/>
  </cols>
  <sheetData>
    <row r="1" spans="1:4" x14ac:dyDescent="0.25">
      <c r="A1" s="16" t="s">
        <v>0</v>
      </c>
      <c r="B1" s="16"/>
      <c r="C1" s="12" t="s">
        <v>1</v>
      </c>
    </row>
    <row r="2" spans="1:4" x14ac:dyDescent="0.25">
      <c r="A2" s="16"/>
      <c r="B2" s="16"/>
      <c r="C2" s="12">
        <v>21178.39</v>
      </c>
    </row>
    <row r="3" spans="1:4" x14ac:dyDescent="0.25">
      <c r="A3" s="17" t="s">
        <v>5</v>
      </c>
      <c r="B3" s="17"/>
      <c r="C3" s="13">
        <f>C2-C17</f>
        <v>17973.1777</v>
      </c>
      <c r="D3" s="5"/>
    </row>
    <row r="4" spans="1:4" x14ac:dyDescent="0.25">
      <c r="A4" s="15" t="s">
        <v>2</v>
      </c>
      <c r="B4" s="15"/>
      <c r="C4" s="15"/>
    </row>
    <row r="5" spans="1:4" x14ac:dyDescent="0.25">
      <c r="A5" s="6" t="s">
        <v>3</v>
      </c>
      <c r="B5" s="7" t="s">
        <v>4</v>
      </c>
      <c r="C5" s="8" t="s">
        <v>16</v>
      </c>
      <c r="D5" s="1"/>
    </row>
    <row r="6" spans="1:4" ht="45.75" customHeight="1" x14ac:dyDescent="0.25">
      <c r="A6" s="9" t="s">
        <v>6</v>
      </c>
      <c r="B6" s="10">
        <v>54702</v>
      </c>
      <c r="C6" s="11">
        <v>352.5</v>
      </c>
    </row>
    <row r="7" spans="1:4" ht="30" x14ac:dyDescent="0.25">
      <c r="A7" s="9" t="s">
        <v>7</v>
      </c>
      <c r="B7" s="10">
        <v>56076</v>
      </c>
      <c r="C7" s="11">
        <v>211.4512</v>
      </c>
    </row>
    <row r="8" spans="1:4" ht="45" x14ac:dyDescent="0.25">
      <c r="A8" s="9" t="s">
        <v>8</v>
      </c>
      <c r="B8" s="10">
        <v>56415</v>
      </c>
      <c r="C8" s="11">
        <v>359.4</v>
      </c>
    </row>
    <row r="9" spans="1:4" ht="45" x14ac:dyDescent="0.25">
      <c r="A9" s="9" t="s">
        <v>9</v>
      </c>
      <c r="B9" s="10">
        <v>56431</v>
      </c>
      <c r="C9" s="11">
        <v>357</v>
      </c>
    </row>
    <row r="10" spans="1:4" ht="45" x14ac:dyDescent="0.25">
      <c r="A10" s="9" t="s">
        <v>9</v>
      </c>
      <c r="B10" s="10">
        <v>56432</v>
      </c>
      <c r="C10" s="11">
        <v>359</v>
      </c>
    </row>
    <row r="11" spans="1:4" ht="45" x14ac:dyDescent="0.25">
      <c r="A11" s="9" t="s">
        <v>10</v>
      </c>
      <c r="B11" s="10">
        <v>56761</v>
      </c>
      <c r="C11" s="11">
        <v>238.43</v>
      </c>
    </row>
    <row r="12" spans="1:4" ht="45" x14ac:dyDescent="0.25">
      <c r="A12" s="9" t="s">
        <v>10</v>
      </c>
      <c r="B12" s="10">
        <v>56762</v>
      </c>
      <c r="C12" s="11">
        <v>234.5642</v>
      </c>
    </row>
    <row r="13" spans="1:4" ht="30" x14ac:dyDescent="0.25">
      <c r="A13" s="9" t="s">
        <v>11</v>
      </c>
      <c r="B13" s="10">
        <v>56775</v>
      </c>
      <c r="C13" s="11">
        <v>212.66890000000001</v>
      </c>
    </row>
    <row r="14" spans="1:4" ht="30" x14ac:dyDescent="0.25">
      <c r="A14" s="9" t="s">
        <v>11</v>
      </c>
      <c r="B14" s="10">
        <v>56779</v>
      </c>
      <c r="C14" s="11">
        <v>212.69290000000001</v>
      </c>
    </row>
    <row r="15" spans="1:4" ht="30" x14ac:dyDescent="0.25">
      <c r="A15" s="9" t="s">
        <v>11</v>
      </c>
      <c r="B15" s="10">
        <v>56781</v>
      </c>
      <c r="C15" s="11">
        <v>214.02170000000001</v>
      </c>
    </row>
    <row r="16" spans="1:4" ht="30" x14ac:dyDescent="0.25">
      <c r="A16" s="9" t="s">
        <v>12</v>
      </c>
      <c r="B16" s="10">
        <v>56793</v>
      </c>
      <c r="C16" s="11">
        <v>453.48340000000002</v>
      </c>
    </row>
    <row r="17" spans="1:3" x14ac:dyDescent="0.25">
      <c r="A17" s="18" t="s">
        <v>13</v>
      </c>
      <c r="B17" s="18"/>
      <c r="C17" s="14">
        <f>SUM(C6:C16)</f>
        <v>3205.2123000000001</v>
      </c>
    </row>
  </sheetData>
  <mergeCells count="4">
    <mergeCell ref="A4:C4"/>
    <mergeCell ref="A1:B2"/>
    <mergeCell ref="A3:B3"/>
    <mergeCell ref="A17:B1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F9BFE-5250-45D4-9C81-895C705746DB}">
  <dimension ref="B2:G37"/>
  <sheetViews>
    <sheetView tabSelected="1" workbookViewId="0">
      <selection activeCell="J15" sqref="J15"/>
    </sheetView>
  </sheetViews>
  <sheetFormatPr baseColWidth="10" defaultRowHeight="15" x14ac:dyDescent="0.25"/>
  <cols>
    <col min="1" max="1" width="4" customWidth="1"/>
    <col min="2" max="2" width="18" style="19" customWidth="1"/>
    <col min="3" max="3" width="21.85546875" style="20" customWidth="1"/>
    <col min="7" max="7" width="11.42578125" style="5"/>
  </cols>
  <sheetData>
    <row r="2" spans="2:7" ht="27.75" customHeight="1" x14ac:dyDescent="0.25">
      <c r="B2" s="37" t="s">
        <v>50</v>
      </c>
      <c r="C2" s="37"/>
    </row>
    <row r="3" spans="2:7" ht="15.75" x14ac:dyDescent="0.25">
      <c r="B3" s="21" t="s">
        <v>14</v>
      </c>
      <c r="C3" s="22" t="s">
        <v>16</v>
      </c>
      <c r="E3" s="31" t="s">
        <v>49</v>
      </c>
      <c r="F3" s="31"/>
      <c r="G3" s="12">
        <v>21178.39</v>
      </c>
    </row>
    <row r="4" spans="2:7" x14ac:dyDescent="0.25">
      <c r="B4" s="27" t="s">
        <v>15</v>
      </c>
      <c r="C4" s="23">
        <v>358.19600000000003</v>
      </c>
      <c r="E4" s="17" t="s">
        <v>5</v>
      </c>
      <c r="F4" s="17"/>
      <c r="G4" s="30">
        <v>17973.178</v>
      </c>
    </row>
    <row r="5" spans="2:7" x14ac:dyDescent="0.25">
      <c r="B5" s="27" t="s">
        <v>17</v>
      </c>
      <c r="C5" s="23">
        <v>354.35129999999998</v>
      </c>
      <c r="E5" s="32" t="s">
        <v>51</v>
      </c>
      <c r="F5" s="33"/>
      <c r="G5" s="34">
        <f>G4-C36</f>
        <v>9316.0615999999991</v>
      </c>
    </row>
    <row r="6" spans="2:7" x14ac:dyDescent="0.25">
      <c r="B6" s="27" t="s">
        <v>18</v>
      </c>
      <c r="C6" s="23">
        <v>358.10789999999997</v>
      </c>
    </row>
    <row r="7" spans="2:7" x14ac:dyDescent="0.25">
      <c r="B7" s="27" t="s">
        <v>19</v>
      </c>
      <c r="C7" s="23">
        <v>359.31979999999999</v>
      </c>
    </row>
    <row r="8" spans="2:7" x14ac:dyDescent="0.25">
      <c r="B8" s="27" t="s">
        <v>20</v>
      </c>
      <c r="C8" s="23">
        <v>359.6377</v>
      </c>
    </row>
    <row r="9" spans="2:7" x14ac:dyDescent="0.25">
      <c r="B9" s="27" t="s">
        <v>21</v>
      </c>
      <c r="C9" s="23">
        <v>354.53300000000002</v>
      </c>
    </row>
    <row r="10" spans="2:7" x14ac:dyDescent="0.25">
      <c r="B10" s="27" t="s">
        <v>22</v>
      </c>
      <c r="C10" s="23">
        <v>357.77</v>
      </c>
    </row>
    <row r="11" spans="2:7" x14ac:dyDescent="0.25">
      <c r="B11" s="27" t="s">
        <v>23</v>
      </c>
      <c r="C11" s="36">
        <v>357.11790000000002</v>
      </c>
    </row>
    <row r="12" spans="2:7" x14ac:dyDescent="0.25">
      <c r="B12" s="27" t="s">
        <v>24</v>
      </c>
      <c r="C12" s="23">
        <v>201.13749999999999</v>
      </c>
    </row>
    <row r="13" spans="2:7" x14ac:dyDescent="0.25">
      <c r="B13" s="27" t="s">
        <v>25</v>
      </c>
      <c r="C13" s="23">
        <v>207.66159999999999</v>
      </c>
    </row>
    <row r="14" spans="2:7" x14ac:dyDescent="0.25">
      <c r="B14" s="27" t="s">
        <v>26</v>
      </c>
      <c r="C14" s="23">
        <v>207.95</v>
      </c>
    </row>
    <row r="15" spans="2:7" x14ac:dyDescent="0.25">
      <c r="B15" s="27" t="s">
        <v>27</v>
      </c>
      <c r="C15" s="23">
        <v>208.35820000000001</v>
      </c>
    </row>
    <row r="16" spans="2:7" x14ac:dyDescent="0.25">
      <c r="B16" s="27" t="s">
        <v>28</v>
      </c>
      <c r="C16" s="23">
        <v>208.51490000000001</v>
      </c>
    </row>
    <row r="17" spans="2:3" x14ac:dyDescent="0.25">
      <c r="B17" s="27" t="s">
        <v>29</v>
      </c>
      <c r="C17" s="23">
        <v>208.92259999999999</v>
      </c>
    </row>
    <row r="18" spans="2:3" x14ac:dyDescent="0.25">
      <c r="B18" s="27" t="s">
        <v>30</v>
      </c>
      <c r="C18" s="23">
        <v>209.33150000000001</v>
      </c>
    </row>
    <row r="19" spans="2:3" x14ac:dyDescent="0.25">
      <c r="B19" s="27" t="s">
        <v>31</v>
      </c>
      <c r="C19" s="23">
        <v>209.52539999999999</v>
      </c>
    </row>
    <row r="20" spans="2:3" x14ac:dyDescent="0.25">
      <c r="B20" s="27" t="s">
        <v>32</v>
      </c>
      <c r="C20" s="23">
        <v>210.82419999999999</v>
      </c>
    </row>
    <row r="21" spans="2:3" x14ac:dyDescent="0.25">
      <c r="B21" s="27" t="s">
        <v>33</v>
      </c>
      <c r="C21" s="23">
        <v>211.34299999999999</v>
      </c>
    </row>
    <row r="22" spans="2:3" x14ac:dyDescent="0.25">
      <c r="B22" s="27" t="s">
        <v>34</v>
      </c>
      <c r="C22" s="23">
        <v>211.8621</v>
      </c>
    </row>
    <row r="23" spans="2:3" x14ac:dyDescent="0.25">
      <c r="B23" s="27" t="s">
        <v>35</v>
      </c>
      <c r="C23" s="23">
        <v>208.16990000000001</v>
      </c>
    </row>
    <row r="24" spans="2:3" x14ac:dyDescent="0.25">
      <c r="B24" s="27" t="s">
        <v>36</v>
      </c>
      <c r="C24" s="23">
        <v>205.51419999999999</v>
      </c>
    </row>
    <row r="25" spans="2:3" x14ac:dyDescent="0.25">
      <c r="B25" s="27" t="s">
        <v>37</v>
      </c>
      <c r="C25" s="23">
        <v>202.9725</v>
      </c>
    </row>
    <row r="26" spans="2:3" x14ac:dyDescent="0.25">
      <c r="B26" s="27" t="s">
        <v>38</v>
      </c>
      <c r="C26" s="23">
        <v>236.97559999999999</v>
      </c>
    </row>
    <row r="27" spans="2:3" x14ac:dyDescent="0.25">
      <c r="B27" s="27" t="s">
        <v>39</v>
      </c>
      <c r="C27" s="23">
        <v>211.36869999999999</v>
      </c>
    </row>
    <row r="28" spans="2:3" x14ac:dyDescent="0.25">
      <c r="B28" s="27" t="s">
        <v>40</v>
      </c>
      <c r="C28" s="23">
        <v>205.78659999999999</v>
      </c>
    </row>
    <row r="29" spans="2:3" x14ac:dyDescent="0.25">
      <c r="B29" s="27" t="s">
        <v>41</v>
      </c>
      <c r="C29" s="23">
        <v>207.28739999999999</v>
      </c>
    </row>
    <row r="30" spans="2:3" x14ac:dyDescent="0.25">
      <c r="B30" s="27" t="s">
        <v>42</v>
      </c>
      <c r="C30" s="23">
        <v>208.78909999999999</v>
      </c>
    </row>
    <row r="31" spans="2:3" x14ac:dyDescent="0.25">
      <c r="B31" s="27" t="s">
        <v>43</v>
      </c>
      <c r="C31" s="23">
        <v>234.10419999999999</v>
      </c>
    </row>
    <row r="32" spans="2:3" x14ac:dyDescent="0.25">
      <c r="B32" s="27" t="s">
        <v>44</v>
      </c>
      <c r="C32" s="23">
        <v>235.96440000000001</v>
      </c>
    </row>
    <row r="33" spans="2:7" x14ac:dyDescent="0.25">
      <c r="B33" s="27" t="s">
        <v>45</v>
      </c>
      <c r="C33" s="23">
        <v>445.7029</v>
      </c>
    </row>
    <row r="34" spans="2:7" x14ac:dyDescent="0.25">
      <c r="B34" s="27" t="s">
        <v>46</v>
      </c>
      <c r="C34" s="23">
        <v>445.916</v>
      </c>
    </row>
    <row r="35" spans="2:7" x14ac:dyDescent="0.25">
      <c r="B35" s="27" t="s">
        <v>47</v>
      </c>
      <c r="C35" s="23">
        <v>454.1003</v>
      </c>
    </row>
    <row r="36" spans="2:7" x14ac:dyDescent="0.25">
      <c r="B36" s="28" t="s">
        <v>48</v>
      </c>
      <c r="C36" s="29">
        <f>SUM(C4:C35)</f>
        <v>8657.1164000000008</v>
      </c>
    </row>
    <row r="37" spans="2:7" s="26" customFormat="1" x14ac:dyDescent="0.25">
      <c r="B37" s="24"/>
      <c r="C37" s="25"/>
      <c r="G37" s="35"/>
    </row>
  </sheetData>
  <mergeCells count="4">
    <mergeCell ref="E4:F4"/>
    <mergeCell ref="E3:F3"/>
    <mergeCell ref="B2:C2"/>
    <mergeCell ref="E5:F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DESMEMBRACIONES INSCRITAS</vt:lpstr>
      <vt:lpstr>LOTES A INSCRIBIR DELIA BARRAN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Topografia</dc:creator>
  <cp:lastModifiedBy>Topografia</cp:lastModifiedBy>
  <dcterms:created xsi:type="dcterms:W3CDTF">2025-09-29T17:52:49Z</dcterms:created>
  <dcterms:modified xsi:type="dcterms:W3CDTF">2025-09-29T22:54:27Z</dcterms:modified>
</cp:coreProperties>
</file>