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Planos\AÑO 2026\"/>
    </mc:Choice>
  </mc:AlternateContent>
  <xr:revisionPtr revIDLastSave="0" documentId="13_ncr:1_{E4B39A9E-EDF1-4DEA-B579-6452B167F436}" xr6:coauthVersionLast="47" xr6:coauthVersionMax="47" xr10:uidLastSave="{00000000-0000-0000-0000-000000000000}"/>
  <bookViews>
    <workbookView xWindow="-120" yWindow="-120" windowWidth="29040" windowHeight="15840" xr2:uid="{E0DC1D28-234D-4551-8CE5-CF61D1F09C93}"/>
  </bookViews>
  <sheets>
    <sheet name="BAUCHER 2026" sheetId="1" r:id="rId1"/>
    <sheet name="Consultas" sheetId="2" r:id="rId2"/>
  </sheets>
  <definedNames>
    <definedName name="_xlnm._FilterDatabase" localSheetId="0" hidden="1">'BAUCHER 2026'!$A$1:$F$1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" l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62" i="1"/>
  <c r="I63" i="1"/>
  <c r="I64" i="1"/>
  <c r="I65" i="1"/>
  <c r="I66" i="1"/>
  <c r="I67" i="1"/>
  <c r="I68" i="1"/>
  <c r="I69" i="1"/>
  <c r="I50" i="1"/>
  <c r="I51" i="1"/>
  <c r="I52" i="1"/>
  <c r="I53" i="1"/>
  <c r="I54" i="1"/>
  <c r="I55" i="1"/>
  <c r="I56" i="1"/>
  <c r="I57" i="1"/>
  <c r="I58" i="1"/>
  <c r="I59" i="1"/>
  <c r="I60" i="1"/>
  <c r="I61" i="1"/>
  <c r="I4" i="1"/>
  <c r="I47" i="1"/>
  <c r="I48" i="1"/>
  <c r="I49" i="1"/>
  <c r="I46" i="1"/>
  <c r="I39" i="1"/>
  <c r="I2" i="1"/>
  <c r="I30" i="1"/>
  <c r="C4" i="2" s="1" a="1"/>
  <c r="C4" i="2" s="1"/>
  <c r="I31" i="1"/>
  <c r="I32" i="1"/>
  <c r="I33" i="1"/>
  <c r="I34" i="1"/>
  <c r="I35" i="1"/>
  <c r="I3" i="1"/>
  <c r="I5" i="1"/>
  <c r="I6" i="1"/>
  <c r="I7" i="1"/>
  <c r="I8" i="1"/>
  <c r="I9" i="1"/>
  <c r="I10" i="1"/>
  <c r="I11" i="1"/>
  <c r="I12" i="1"/>
  <c r="I13" i="1"/>
  <c r="C14" i="2" s="1" a="1"/>
  <c r="I15" i="1"/>
  <c r="I16" i="1"/>
  <c r="I17" i="1"/>
  <c r="I18" i="1"/>
  <c r="I36" i="1"/>
  <c r="I37" i="1"/>
  <c r="I38" i="1"/>
  <c r="I14" i="1"/>
  <c r="I19" i="1"/>
  <c r="I20" i="1"/>
  <c r="I21" i="1"/>
  <c r="I22" i="1"/>
  <c r="I23" i="1"/>
  <c r="I24" i="1"/>
  <c r="I25" i="1"/>
  <c r="I26" i="1"/>
  <c r="I27" i="1"/>
  <c r="I28" i="1"/>
  <c r="C36" i="2" s="1" a="1"/>
  <c r="I29" i="1"/>
  <c r="I40" i="1"/>
  <c r="I41" i="1"/>
  <c r="I42" i="1"/>
  <c r="I43" i="1"/>
  <c r="I44" i="1"/>
  <c r="I45" i="1"/>
  <c r="C8" i="2" s="1" a="1"/>
  <c r="C8" i="2" s="1"/>
  <c r="C28" i="2" l="1" a="1"/>
  <c r="C28" i="2" s="1"/>
  <c r="C20" i="2" a="1"/>
  <c r="C20" i="2" s="1"/>
  <c r="C14" i="2"/>
  <c r="C3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<sst xmlns="http://schemas.openxmlformats.org/spreadsheetml/2006/main" count="280" uniqueCount="120">
  <si>
    <t xml:space="preserve">Concepto </t>
  </si>
  <si>
    <t>Nombre del cliente</t>
  </si>
  <si>
    <t xml:space="preserve">Fecha estimada de entrega </t>
  </si>
  <si>
    <t xml:space="preserve">Servicio </t>
  </si>
  <si>
    <t xml:space="preserve">Feha Solicitud </t>
  </si>
  <si>
    <t xml:space="preserve">Fecha de pago </t>
  </si>
  <si>
    <t>T-4CI3IT</t>
  </si>
  <si>
    <t>APROVACION Y REVICIÓN DE PLANOS TOPOGRAFICOS CON FINES CATASTRALES</t>
  </si>
  <si>
    <t xml:space="preserve">Monto en cordobas </t>
  </si>
  <si>
    <t>CONSULTAS</t>
  </si>
  <si>
    <t>RAUL ERNESTO CHAMORRO GONZALES</t>
  </si>
  <si>
    <t>Entregado</t>
  </si>
  <si>
    <t>Estado</t>
  </si>
  <si>
    <t>T-4CGUCZ</t>
  </si>
  <si>
    <t>RAFAEL DE LOS ANGELES MARENCO CANALES</t>
  </si>
  <si>
    <t>T-4CHZ1Y</t>
  </si>
  <si>
    <t xml:space="preserve">BOSCO ROBERTO ZAMPIERI MORALES </t>
  </si>
  <si>
    <t>T-4CHZ3L</t>
  </si>
  <si>
    <t>HUGO LEONEL MORALES MUÑOZ</t>
  </si>
  <si>
    <t>T-4CHZ1D</t>
  </si>
  <si>
    <t>MARINA SALVADORA ALEMAN ALEMAN</t>
  </si>
  <si>
    <t>T-4CHZ39</t>
  </si>
  <si>
    <t>T-4CHZ2L</t>
  </si>
  <si>
    <t>T-4CHWMB</t>
  </si>
  <si>
    <t>IUAN MARIA OSORNO VILLATORO</t>
  </si>
  <si>
    <t>03/032026</t>
  </si>
  <si>
    <t>T-4CHCQJ</t>
  </si>
  <si>
    <t xml:space="preserve">MILTON JAVIER ZAVALA </t>
  </si>
  <si>
    <t>T-4CHAC9</t>
  </si>
  <si>
    <t xml:space="preserve">BEATRIZ ELAINE VERDE GARCIA </t>
  </si>
  <si>
    <t>T-4CH2CX</t>
  </si>
  <si>
    <t>JOSE FRANCISCO ZAMBRANA CORDOBA</t>
  </si>
  <si>
    <t>T-4CH2BY</t>
  </si>
  <si>
    <t>JUDITH SALVADORA REYES OROZCO</t>
  </si>
  <si>
    <t>T-4CH2D7</t>
  </si>
  <si>
    <t>JOEL FERNANDO LARA MIRANDA</t>
  </si>
  <si>
    <t>T-4CH2CB</t>
  </si>
  <si>
    <t>YURI ELIETH BROWN GONZALES</t>
  </si>
  <si>
    <t>T-4CHCPI</t>
  </si>
  <si>
    <t>T-4CHFNK</t>
  </si>
  <si>
    <t>IVANIA DEL CARMEN CASTILLO MEZA</t>
  </si>
  <si>
    <t>T-4CHFO9</t>
  </si>
  <si>
    <t>LIGIA DEL SOCORRO CASTILLO MEZA</t>
  </si>
  <si>
    <t>T-4CHFOP</t>
  </si>
  <si>
    <t>T-4CH6LX</t>
  </si>
  <si>
    <t>MIGUEL ANGEL ABEA BRAVO</t>
  </si>
  <si>
    <t>T-4CH4KD</t>
  </si>
  <si>
    <t>MARIA DE JESUS GONZALES GUADAMUZ</t>
  </si>
  <si>
    <t>T-4CH4LJ</t>
  </si>
  <si>
    <t xml:space="preserve">GEORGE THOMAS HAMILTON </t>
  </si>
  <si>
    <t>T-4CH4KT</t>
  </si>
  <si>
    <t>GIOVANIA AUXILIADORA WELLINGSTON ALFONSO</t>
  </si>
  <si>
    <t>T-4CH4JR</t>
  </si>
  <si>
    <t xml:space="preserve">ANA LOPEZ BERMUDEZ </t>
  </si>
  <si>
    <t>T-4CI7KI</t>
  </si>
  <si>
    <t>WALMER JOSE TERCERO MONTOYA</t>
  </si>
  <si>
    <t>T-4CI5SV</t>
  </si>
  <si>
    <t>JAVIER HERNANDEZ RUIZ</t>
  </si>
  <si>
    <t>T-4CI5S9</t>
  </si>
  <si>
    <t>JOSEFA DEL CARMEN VASQUEZ VEGA</t>
  </si>
  <si>
    <t>T-4CGUC2</t>
  </si>
  <si>
    <t>OMAR FRANCISCO MARTINEZ SILVA</t>
  </si>
  <si>
    <t>T-4CGPG4</t>
  </si>
  <si>
    <t>OSCAR DANILO SANCHEZ DAVILA</t>
  </si>
  <si>
    <t>T-4CGPJ8</t>
  </si>
  <si>
    <t>T-4CGPJY</t>
  </si>
  <si>
    <t>T-4CGPLQ</t>
  </si>
  <si>
    <t>LILLIAM DEL CARMEN PEREZ SANDIGO</t>
  </si>
  <si>
    <t>T-4CGPMV</t>
  </si>
  <si>
    <t>T-4CGPKJ</t>
  </si>
  <si>
    <t>T-4CGPIO</t>
  </si>
  <si>
    <t>T-4CGPM9</t>
  </si>
  <si>
    <t>T-4CGPLO</t>
  </si>
  <si>
    <t>LILLIAM DEL CARMEN PEREZ LOPEZ</t>
  </si>
  <si>
    <t>T-4CHCQK</t>
  </si>
  <si>
    <t xml:space="preserve">DIONICIO CUADRA KAUTZ </t>
  </si>
  <si>
    <t>T-4CIDFS</t>
  </si>
  <si>
    <t>BENJAMIN MATHIAS MICHAEL HASS</t>
  </si>
  <si>
    <t>Espera</t>
  </si>
  <si>
    <t xml:space="preserve">Nombre cliente </t>
  </si>
  <si>
    <t>Servicio</t>
  </si>
  <si>
    <t>Fecha solicitud</t>
  </si>
  <si>
    <t xml:space="preserve"> Fecha estimada de entrega </t>
  </si>
  <si>
    <t xml:space="preserve">Monto en cordoba </t>
  </si>
  <si>
    <t xml:space="preserve">Estado </t>
  </si>
  <si>
    <t>T-4CI9GU</t>
  </si>
  <si>
    <t xml:space="preserve">JOSE ANGEL MAYORGA Y OTROS </t>
  </si>
  <si>
    <t>Suspendido</t>
  </si>
  <si>
    <t>GLORIA ELENA CASTILLO MEZA</t>
  </si>
  <si>
    <t>T-4CIPB6</t>
  </si>
  <si>
    <t>MILTON ANDRES CRUZ NICARAGUA</t>
  </si>
  <si>
    <t xml:space="preserve">   T-4CIPC3</t>
  </si>
  <si>
    <t>LIDIA DEL SOCORRO PEREZ BRIONES</t>
  </si>
  <si>
    <t>T-4CI3L3</t>
  </si>
  <si>
    <t>CARMEN CECILIA FLORES GUTIERREZ</t>
  </si>
  <si>
    <t>T-4CHCQ0</t>
  </si>
  <si>
    <t>Aprovados</t>
  </si>
  <si>
    <t>control de fechas por solicitud</t>
  </si>
  <si>
    <t>control de fechas por Estimacion de entrega</t>
  </si>
  <si>
    <t xml:space="preserve">control de fechas por pagos </t>
  </si>
  <si>
    <t xml:space="preserve">Fecha </t>
  </si>
  <si>
    <t xml:space="preserve">Control de estados </t>
  </si>
  <si>
    <t>aprovados</t>
  </si>
  <si>
    <t>Codigo</t>
  </si>
  <si>
    <t>control de codigos</t>
  </si>
  <si>
    <t>T-4CIILR</t>
  </si>
  <si>
    <t>Fecha registro</t>
  </si>
  <si>
    <t>T-4CLI9I</t>
  </si>
  <si>
    <t>ROSA ESMERALDA CASTILLO CASTRO</t>
  </si>
  <si>
    <t>T-4CIILKS</t>
  </si>
  <si>
    <t>T-4CI5R0</t>
  </si>
  <si>
    <t xml:space="preserve">JESSE JOSEP TESCHNER </t>
  </si>
  <si>
    <t>fecha registr</t>
  </si>
  <si>
    <t>Fecha Registro</t>
  </si>
  <si>
    <t xml:space="preserve">fecha registro </t>
  </si>
  <si>
    <t>Buscar bauchcer</t>
  </si>
  <si>
    <t xml:space="preserve">Buscar por concepto </t>
  </si>
  <si>
    <t>T-4CILAP</t>
  </si>
  <si>
    <t>GREGORY HERNANDEZ</t>
  </si>
  <si>
    <t>T-4CILBE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</si>
</sst>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164" fontId="0" fillId="2" borderId="1" xfId="0" applyNumberFormat="1" applyFill="1" applyBorder="1"/>
    <xf numFmtId="0" fontId="0" fillId="2" borderId="5" xfId="0" applyFill="1" applyBorder="1"/>
    <xf numFmtId="0" fontId="0" fillId="0" borderId="8" xfId="0" applyBorder="1"/>
    <xf numFmtId="14" fontId="0" fillId="2" borderId="5" xfId="0" applyNumberFormat="1" applyFill="1" applyBorder="1"/>
    <xf numFmtId="14" fontId="0" fillId="2" borderId="6" xfId="0" applyNumberFormat="1" applyFill="1" applyBorder="1"/>
    <xf numFmtId="14" fontId="0" fillId="0" borderId="0" xfId="0" applyNumberFormat="1"/>
    <xf numFmtId="0" fontId="1" fillId="0" borderId="1" xfId="0" applyFont="1" applyBorder="1"/>
    <xf numFmtId="2" fontId="0" fillId="0" borderId="0" xfId="0" applyNumberFormat="1"/>
    <xf numFmtId="0" fontId="2" fillId="0" borderId="0" xfId="0" applyFont="1"/>
    <xf numFmtId="14" fontId="0" fillId="0" borderId="1" xfId="0" applyNumberFormat="1" applyBorder="1" applyAlignment="1">
      <alignment horizontal="right"/>
    </xf>
    <xf numFmtId="14" fontId="0" fillId="0" borderId="3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14" fontId="0" fillId="0" borderId="8" xfId="0" applyNumberFormat="1" applyBorder="1" applyAlignment="1">
      <alignment horizontal="right"/>
    </xf>
    <xf numFmtId="14" fontId="0" fillId="0" borderId="9" xfId="0" applyNumberFormat="1" applyBorder="1" applyAlignment="1">
      <alignment horizontal="right"/>
    </xf>
    <xf numFmtId="0" fontId="1" fillId="2" borderId="5" xfId="0" applyFont="1" applyFill="1" applyBorder="1"/>
    <xf numFmtId="0" fontId="1" fillId="0" borderId="8" xfId="0" applyFont="1" applyBorder="1"/>
    <xf numFmtId="0" fontId="1" fillId="0" borderId="0" xfId="0" applyFont="1"/>
    <xf numFmtId="0" fontId="1" fillId="2" borderId="4" xfId="0" applyFont="1" applyFill="1" applyBorder="1"/>
    <xf numFmtId="0" fontId="1" fillId="0" borderId="2" xfId="0" applyFont="1" applyBorder="1"/>
    <xf numFmtId="0" fontId="1" fillId="0" borderId="7" xfId="0" applyFon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14" fontId="0" fillId="9" borderId="0" xfId="0" applyNumberFormat="1" applyFill="1" applyAlignment="1">
      <alignment horizontal="right"/>
    </xf>
    <xf numFmtId="0" fontId="0" fillId="0" borderId="7" xfId="0" applyBorder="1"/>
    <xf numFmtId="14" fontId="0" fillId="0" borderId="5" xfId="0" applyNumberFormat="1" applyBorder="1" applyAlignment="1">
      <alignment horizontal="right"/>
    </xf>
    <xf numFmtId="164" fontId="0" fillId="2" borderId="5" xfId="0" applyNumberFormat="1" applyFill="1" applyBorder="1"/>
    <xf numFmtId="0" fontId="0" fillId="7" borderId="13" xfId="0" applyFill="1" applyBorder="1"/>
    <xf numFmtId="0" fontId="0" fillId="2" borderId="1" xfId="0" applyFill="1" applyBorder="1"/>
    <xf numFmtId="0" fontId="1" fillId="0" borderId="10" xfId="0" applyFont="1" applyBorder="1"/>
    <xf numFmtId="0" fontId="0" fillId="0" borderId="2" xfId="0" applyBorder="1"/>
    <xf numFmtId="0" fontId="1" fillId="0" borderId="11" xfId="0" applyFont="1" applyBorder="1"/>
    <xf numFmtId="2" fontId="0" fillId="0" borderId="8" xfId="0" applyNumberFormat="1" applyBorder="1" applyAlignment="1">
      <alignment horizontal="right"/>
    </xf>
    <xf numFmtId="0" fontId="0" fillId="7" borderId="5" xfId="0" applyFill="1" applyBorder="1"/>
    <xf numFmtId="0" fontId="0" fillId="10" borderId="0" xfId="0" applyFill="1"/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5">
    <dxf>
      <font>
        <color rgb="FF92D050"/>
      </font>
    </dxf>
    <dxf>
      <font>
        <color rgb="FFFFC000"/>
      </font>
    </dxf>
    <dxf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164" formatCode="[$-F800]dddd\,\ mmmm\ dd\,\ yyyy"/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8F432E-70D2-4776-8C1A-19702FD4ACFD}" name="TablaDatos" displayName="TablaDatos" ref="A1:I83" totalsRowShown="0" headerRowDxfId="14" headerRowBorderDxfId="13" tableBorderDxfId="12" totalsRowBorderDxfId="11">
  <sortState xmlns:xlrd2="http://schemas.microsoft.com/office/spreadsheetml/2017/richdata2" ref="A2:F17">
    <sortCondition ref="D1:D17"/>
  </sortState>
  <tableColumns count="9">
    <tableColumn id="1" xr3:uid="{3CE9CBAC-B3A3-43A5-B461-C0EB60809741}" name="Concepto " dataDxfId="10"/>
    <tableColumn id="2" xr3:uid="{6A3096EB-F5BF-4F2B-9E92-DFD21B307E6D}" name="Nombre del cliente" dataDxfId="9"/>
    <tableColumn id="3" xr3:uid="{EAF21CBA-8234-407A-AB56-8D0266B5209E}" name="Servicio " dataDxfId="8"/>
    <tableColumn id="4" xr3:uid="{1A888D4F-16E6-4561-9C1D-7DFDDD549732}" name="Feha Solicitud " dataDxfId="7"/>
    <tableColumn id="5" xr3:uid="{A396585D-A7A0-42FB-ABF9-EE8D339C6989}" name="Fecha estimada de entrega " dataDxfId="6"/>
    <tableColumn id="6" xr3:uid="{548D38E7-E708-48F1-95F9-430FA74C3B57}" name="Fecha de pago " dataDxfId="5"/>
    <tableColumn id="7" xr3:uid="{D340A9B9-B715-4EA9-8DED-D9F11EE0772C}" name="Monto en cordobas " dataDxfId="4"/>
    <tableColumn id="8" xr3:uid="{BA3AFB78-2A51-4D71-BAD1-A327070F1493}" name="Estado" dataDxfId="3"/>
    <tableColumn id="9" xr3:uid="{9229B621-800C-45FD-BD8B-CEFB355739D7}" name="Fecha registro" dataDxfId="2">
      <calculatedColumnFormula>TEXT(D2,"mmmm")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6508-6ABB-4381-BEE3-14BE17408397}">
  <sheetPr codeName="Hoja1"/>
  <dimension ref="A1:Q83"/>
  <sheetViews>
    <sheetView tabSelected="1" topLeftCell="A19" zoomScaleNormal="100" workbookViewId="0">
      <selection activeCell="E51" sqref="E51"/>
    </sheetView>
  </sheetViews>
  <sheetFormatPr baseColWidth="10" defaultRowHeight="15" x14ac:dyDescent="0.25"/>
  <cols>
    <col min="1" max="1" width="11.140625" style="18" bestFit="1" customWidth="1"/>
    <col min="2" max="2" width="46.140625" style="18" bestFit="1" customWidth="1"/>
    <col min="3" max="3" width="70.7109375" bestFit="1" customWidth="1"/>
    <col min="4" max="4" width="14.140625" bestFit="1" customWidth="1"/>
    <col min="5" max="5" width="25.7109375" bestFit="1" customWidth="1"/>
    <col min="6" max="6" width="14.140625" bestFit="1" customWidth="1"/>
    <col min="7" max="7" width="18.7109375" bestFit="1" customWidth="1"/>
    <col min="8" max="8" width="11.42578125" bestFit="1" customWidth="1"/>
    <col min="9" max="9" width="13.7109375" bestFit="1" customWidth="1"/>
    <col min="10" max="10" width="10.42578125" bestFit="1" customWidth="1"/>
    <col min="11" max="11" width="19.7109375" bestFit="1" customWidth="1"/>
    <col min="12" max="12" width="44.42578125" bestFit="1" customWidth="1"/>
    <col min="13" max="13" width="15.85546875" bestFit="1" customWidth="1"/>
    <col min="14" max="14" width="14.42578125" bestFit="1" customWidth="1"/>
    <col min="15" max="15" width="25.7109375" bestFit="1" customWidth="1"/>
    <col min="16" max="16" width="14.140625" bestFit="1" customWidth="1"/>
    <col min="17" max="17" width="17.5703125" bestFit="1" customWidth="1"/>
    <col min="18" max="18" width="7.42578125" bestFit="1" customWidth="1"/>
  </cols>
  <sheetData>
    <row r="1" spans="1:17" x14ac:dyDescent="0.25">
      <c r="A1" s="19" t="s">
        <v>0</v>
      </c>
      <c r="B1" s="16" t="s">
        <v>1</v>
      </c>
      <c r="C1" s="3" t="s">
        <v>3</v>
      </c>
      <c r="D1" s="5" t="s">
        <v>4</v>
      </c>
      <c r="E1" s="5" t="s">
        <v>2</v>
      </c>
      <c r="F1" s="6" t="s">
        <v>5</v>
      </c>
      <c r="G1" s="2" t="s">
        <v>8</v>
      </c>
      <c r="H1" s="2" t="s">
        <v>12</v>
      </c>
      <c r="I1" s="31" t="s">
        <v>106</v>
      </c>
      <c r="K1" s="33" t="s">
        <v>116</v>
      </c>
      <c r="M1" t="s">
        <v>115</v>
      </c>
    </row>
    <row r="2" spans="1:17" x14ac:dyDescent="0.25">
      <c r="A2" s="20" t="s">
        <v>13</v>
      </c>
      <c r="B2" s="8" t="s">
        <v>14</v>
      </c>
      <c r="C2" s="1" t="s">
        <v>7</v>
      </c>
      <c r="D2" s="11">
        <v>46036</v>
      </c>
      <c r="E2" s="11">
        <v>46057</v>
      </c>
      <c r="F2" s="12">
        <v>46036</v>
      </c>
      <c r="G2" s="13">
        <v>1510</v>
      </c>
      <c r="H2" s="22" t="s">
        <v>78</v>
      </c>
      <c r="I2" s="11" t="str">
        <f t="shared" ref="I2:I38" si="0">TEXT(D2,"mmmm")</f>
        <v>enero</v>
      </c>
      <c r="K2" s="33"/>
      <c r="M2" t="s">
        <v>41</v>
      </c>
    </row>
    <row r="3" spans="1:17" x14ac:dyDescent="0.25">
      <c r="A3" s="20" t="s">
        <v>26</v>
      </c>
      <c r="B3" s="8" t="s">
        <v>27</v>
      </c>
      <c r="C3" s="1" t="s">
        <v>7</v>
      </c>
      <c r="D3" s="11">
        <v>46049</v>
      </c>
      <c r="E3" s="11">
        <v>46070</v>
      </c>
      <c r="F3" s="12">
        <v>46049</v>
      </c>
      <c r="G3" s="13">
        <v>1510</v>
      </c>
      <c r="H3" s="25" t="s">
        <v>11</v>
      </c>
      <c r="I3" s="11" t="str">
        <f t="shared" si="0"/>
        <v>enero</v>
      </c>
      <c r="N3" s="7"/>
      <c r="O3" s="7"/>
      <c r="P3" s="7"/>
      <c r="Q3" s="9"/>
    </row>
    <row r="4" spans="1:17" x14ac:dyDescent="0.25">
      <c r="A4" s="20" t="s">
        <v>28</v>
      </c>
      <c r="B4" s="8" t="s">
        <v>29</v>
      </c>
      <c r="C4" s="1" t="s">
        <v>7</v>
      </c>
      <c r="D4" s="11">
        <v>46048</v>
      </c>
      <c r="E4" s="11">
        <v>46069</v>
      </c>
      <c r="F4" s="12">
        <v>46048</v>
      </c>
      <c r="G4" s="13">
        <v>1510</v>
      </c>
      <c r="H4" s="25" t="s">
        <v>11</v>
      </c>
      <c r="I4" s="11" t="str">
        <f t="shared" si="0"/>
        <v>enero</v>
      </c>
      <c r="N4" s="7"/>
      <c r="O4" s="7"/>
      <c r="P4" s="7"/>
      <c r="Q4" s="9"/>
    </row>
    <row r="5" spans="1:17" x14ac:dyDescent="0.25">
      <c r="A5" s="20" t="s">
        <v>30</v>
      </c>
      <c r="B5" s="8" t="s">
        <v>31</v>
      </c>
      <c r="C5" s="1" t="s">
        <v>7</v>
      </c>
      <c r="D5" s="11">
        <v>46042</v>
      </c>
      <c r="E5" s="11">
        <v>46063</v>
      </c>
      <c r="F5" s="12">
        <v>46042</v>
      </c>
      <c r="G5" s="13">
        <v>1510</v>
      </c>
      <c r="H5" s="25" t="s">
        <v>11</v>
      </c>
      <c r="I5" s="11" t="str">
        <f t="shared" si="0"/>
        <v>enero</v>
      </c>
      <c r="N5" s="7"/>
      <c r="O5" s="7"/>
      <c r="P5" s="7"/>
      <c r="Q5" s="9"/>
    </row>
    <row r="6" spans="1:17" x14ac:dyDescent="0.25">
      <c r="A6" s="20" t="s">
        <v>32</v>
      </c>
      <c r="B6" s="8" t="s">
        <v>33</v>
      </c>
      <c r="C6" s="1" t="s">
        <v>7</v>
      </c>
      <c r="D6" s="11">
        <v>46042</v>
      </c>
      <c r="E6" s="11">
        <v>46063</v>
      </c>
      <c r="F6" s="12">
        <v>46042</v>
      </c>
      <c r="G6" s="13">
        <v>1510</v>
      </c>
      <c r="H6" s="22" t="s">
        <v>78</v>
      </c>
      <c r="I6" s="11" t="str">
        <f t="shared" si="0"/>
        <v>enero</v>
      </c>
      <c r="N6" s="7"/>
      <c r="O6" s="7"/>
      <c r="P6" s="7"/>
      <c r="Q6" s="9"/>
    </row>
    <row r="7" spans="1:17" x14ac:dyDescent="0.25">
      <c r="A7" s="20" t="s">
        <v>34</v>
      </c>
      <c r="B7" s="8" t="s">
        <v>35</v>
      </c>
      <c r="C7" s="1" t="s">
        <v>7</v>
      </c>
      <c r="D7" s="11">
        <v>46042</v>
      </c>
      <c r="E7" s="11">
        <v>46063</v>
      </c>
      <c r="F7" s="12">
        <v>46042</v>
      </c>
      <c r="G7" s="13">
        <v>1510</v>
      </c>
      <c r="H7" s="25" t="s">
        <v>11</v>
      </c>
      <c r="I7" s="11" t="str">
        <f t="shared" si="0"/>
        <v>enero</v>
      </c>
      <c r="J7" s="10"/>
    </row>
    <row r="8" spans="1:17" x14ac:dyDescent="0.25">
      <c r="A8" s="20" t="s">
        <v>36</v>
      </c>
      <c r="B8" s="8" t="s">
        <v>37</v>
      </c>
      <c r="C8" s="1" t="s">
        <v>7</v>
      </c>
      <c r="D8" s="11">
        <v>46042</v>
      </c>
      <c r="E8" s="11">
        <v>46063</v>
      </c>
      <c r="F8" s="12">
        <v>46042</v>
      </c>
      <c r="G8" s="13">
        <v>1510</v>
      </c>
      <c r="H8" s="22" t="s">
        <v>78</v>
      </c>
      <c r="I8" s="11" t="str">
        <f t="shared" si="0"/>
        <v>enero</v>
      </c>
    </row>
    <row r="9" spans="1:17" x14ac:dyDescent="0.25">
      <c r="A9" s="20" t="s">
        <v>38</v>
      </c>
      <c r="B9" s="8" t="s">
        <v>27</v>
      </c>
      <c r="C9" s="1" t="s">
        <v>7</v>
      </c>
      <c r="D9" s="11">
        <v>46049</v>
      </c>
      <c r="E9" s="11">
        <v>46070</v>
      </c>
      <c r="F9" s="12">
        <v>46049</v>
      </c>
      <c r="G9" s="13">
        <v>1510</v>
      </c>
      <c r="H9" s="25" t="s">
        <v>11</v>
      </c>
      <c r="I9" s="11" t="str">
        <f t="shared" si="0"/>
        <v>enero</v>
      </c>
    </row>
    <row r="10" spans="1:17" x14ac:dyDescent="0.25">
      <c r="A10" s="20" t="s">
        <v>39</v>
      </c>
      <c r="B10" s="8" t="s">
        <v>40</v>
      </c>
      <c r="C10" s="1" t="s">
        <v>7</v>
      </c>
      <c r="D10" s="11">
        <v>46050</v>
      </c>
      <c r="E10" s="11">
        <v>46072</v>
      </c>
      <c r="F10" s="12">
        <v>46050</v>
      </c>
      <c r="G10" s="13">
        <v>1510</v>
      </c>
      <c r="H10" s="22" t="s">
        <v>78</v>
      </c>
      <c r="I10" s="11" t="str">
        <f t="shared" si="0"/>
        <v>enero</v>
      </c>
    </row>
    <row r="11" spans="1:17" x14ac:dyDescent="0.25">
      <c r="A11" s="20" t="s">
        <v>41</v>
      </c>
      <c r="B11" s="8" t="s">
        <v>42</v>
      </c>
      <c r="C11" s="1" t="s">
        <v>7</v>
      </c>
      <c r="D11" s="11">
        <v>46050</v>
      </c>
      <c r="E11" s="11">
        <v>46072</v>
      </c>
      <c r="F11" s="12">
        <v>46050</v>
      </c>
      <c r="G11" s="13">
        <v>1510</v>
      </c>
      <c r="H11" s="22" t="s">
        <v>78</v>
      </c>
      <c r="I11" s="11" t="str">
        <f t="shared" si="0"/>
        <v>enero</v>
      </c>
    </row>
    <row r="12" spans="1:17" x14ac:dyDescent="0.25">
      <c r="A12" s="20" t="s">
        <v>43</v>
      </c>
      <c r="B12" s="8" t="s">
        <v>88</v>
      </c>
      <c r="C12" s="1" t="s">
        <v>7</v>
      </c>
      <c r="D12" s="11">
        <v>46050</v>
      </c>
      <c r="E12" s="11">
        <v>46072</v>
      </c>
      <c r="F12" s="12">
        <v>46081</v>
      </c>
      <c r="G12" s="13">
        <v>1510</v>
      </c>
      <c r="H12" s="22" t="s">
        <v>78</v>
      </c>
      <c r="I12" s="11" t="str">
        <f t="shared" si="0"/>
        <v>enero</v>
      </c>
    </row>
    <row r="13" spans="1:17" x14ac:dyDescent="0.25">
      <c r="A13" s="20" t="s">
        <v>44</v>
      </c>
      <c r="B13" s="8" t="s">
        <v>45</v>
      </c>
      <c r="C13" s="1" t="s">
        <v>7</v>
      </c>
      <c r="D13" s="11">
        <v>46044</v>
      </c>
      <c r="E13" s="11">
        <v>46065</v>
      </c>
      <c r="F13" s="12">
        <v>46044</v>
      </c>
      <c r="G13" s="13">
        <v>1510</v>
      </c>
      <c r="H13" s="22" t="s">
        <v>78</v>
      </c>
      <c r="I13" s="11" t="str">
        <f t="shared" si="0"/>
        <v>enero</v>
      </c>
    </row>
    <row r="14" spans="1:17" x14ac:dyDescent="0.25">
      <c r="A14" s="21" t="s">
        <v>60</v>
      </c>
      <c r="B14" s="17" t="s">
        <v>61</v>
      </c>
      <c r="C14" s="4" t="s">
        <v>7</v>
      </c>
      <c r="D14" s="14">
        <v>46036</v>
      </c>
      <c r="E14" s="14">
        <v>46057</v>
      </c>
      <c r="F14" s="15">
        <v>46036</v>
      </c>
      <c r="G14" s="13">
        <v>1510</v>
      </c>
      <c r="H14" s="22" t="s">
        <v>78</v>
      </c>
      <c r="I14" s="11" t="str">
        <f>TEXT(D14,"mmmm")</f>
        <v>enero</v>
      </c>
    </row>
    <row r="15" spans="1:17" x14ac:dyDescent="0.25">
      <c r="A15" s="20" t="s">
        <v>46</v>
      </c>
      <c r="B15" s="8" t="s">
        <v>47</v>
      </c>
      <c r="C15" s="1" t="s">
        <v>7</v>
      </c>
      <c r="D15" s="11">
        <v>46043</v>
      </c>
      <c r="E15" s="11">
        <v>46064</v>
      </c>
      <c r="F15" s="12">
        <v>46043</v>
      </c>
      <c r="G15" s="13">
        <v>1510</v>
      </c>
      <c r="H15" s="22" t="s">
        <v>78</v>
      </c>
      <c r="I15" s="11" t="str">
        <f t="shared" si="0"/>
        <v>enero</v>
      </c>
    </row>
    <row r="16" spans="1:17" x14ac:dyDescent="0.25">
      <c r="A16" s="20" t="s">
        <v>48</v>
      </c>
      <c r="B16" s="8" t="s">
        <v>49</v>
      </c>
      <c r="C16" s="1" t="s">
        <v>7</v>
      </c>
      <c r="D16" s="11">
        <v>46043</v>
      </c>
      <c r="E16" s="11">
        <v>46064</v>
      </c>
      <c r="F16" s="12">
        <v>46043</v>
      </c>
      <c r="G16" s="13">
        <v>1510</v>
      </c>
      <c r="H16" s="22" t="s">
        <v>78</v>
      </c>
      <c r="I16" s="11" t="str">
        <f t="shared" si="0"/>
        <v>enero</v>
      </c>
    </row>
    <row r="17" spans="1:9" x14ac:dyDescent="0.25">
      <c r="A17" s="21" t="s">
        <v>50</v>
      </c>
      <c r="B17" s="17" t="s">
        <v>51</v>
      </c>
      <c r="C17" s="4" t="s">
        <v>7</v>
      </c>
      <c r="D17" s="14">
        <v>46043</v>
      </c>
      <c r="E17" s="14">
        <v>46064</v>
      </c>
      <c r="F17" s="15">
        <v>46043</v>
      </c>
      <c r="G17" s="13">
        <v>1510</v>
      </c>
      <c r="H17" s="22" t="s">
        <v>78</v>
      </c>
      <c r="I17" s="11" t="str">
        <f t="shared" si="0"/>
        <v>enero</v>
      </c>
    </row>
    <row r="18" spans="1:9" x14ac:dyDescent="0.25">
      <c r="A18" s="21" t="s">
        <v>52</v>
      </c>
      <c r="B18" s="17" t="s">
        <v>53</v>
      </c>
      <c r="C18" s="4" t="s">
        <v>7</v>
      </c>
      <c r="D18" s="14">
        <v>46043</v>
      </c>
      <c r="E18" s="14">
        <v>46064</v>
      </c>
      <c r="F18" s="15">
        <v>46043</v>
      </c>
      <c r="G18" s="13">
        <v>1510</v>
      </c>
      <c r="H18" s="22" t="s">
        <v>78</v>
      </c>
      <c r="I18" s="11" t="str">
        <f t="shared" si="0"/>
        <v>enero</v>
      </c>
    </row>
    <row r="19" spans="1:9" x14ac:dyDescent="0.25">
      <c r="A19" s="21" t="s">
        <v>62</v>
      </c>
      <c r="B19" s="17" t="s">
        <v>63</v>
      </c>
      <c r="C19" s="4" t="s">
        <v>7</v>
      </c>
      <c r="D19" s="14">
        <v>46034</v>
      </c>
      <c r="E19" s="14">
        <v>46055</v>
      </c>
      <c r="F19" s="15">
        <v>46034</v>
      </c>
      <c r="G19" s="13">
        <v>1510</v>
      </c>
      <c r="H19" s="22" t="s">
        <v>78</v>
      </c>
      <c r="I19" s="11" t="str">
        <f t="shared" ref="I19:I35" si="1">TEXT(D19,"mmmm")</f>
        <v>enero</v>
      </c>
    </row>
    <row r="20" spans="1:9" x14ac:dyDescent="0.25">
      <c r="A20" s="21" t="s">
        <v>64</v>
      </c>
      <c r="B20" s="17" t="s">
        <v>67</v>
      </c>
      <c r="C20" s="4" t="s">
        <v>7</v>
      </c>
      <c r="D20" s="14">
        <v>46034</v>
      </c>
      <c r="E20" s="14">
        <v>46055</v>
      </c>
      <c r="F20" s="15">
        <v>46034</v>
      </c>
      <c r="G20" s="13">
        <v>1510</v>
      </c>
      <c r="H20" s="22" t="s">
        <v>78</v>
      </c>
      <c r="I20" s="11" t="str">
        <f t="shared" si="1"/>
        <v>enero</v>
      </c>
    </row>
    <row r="21" spans="1:9" x14ac:dyDescent="0.25">
      <c r="A21" s="21" t="s">
        <v>65</v>
      </c>
      <c r="B21" s="17" t="s">
        <v>73</v>
      </c>
      <c r="C21" s="4" t="s">
        <v>7</v>
      </c>
      <c r="D21" s="14">
        <v>46034</v>
      </c>
      <c r="E21" s="14">
        <v>46055</v>
      </c>
      <c r="F21" s="15">
        <v>46034</v>
      </c>
      <c r="G21" s="13">
        <v>1510</v>
      </c>
      <c r="H21" s="22" t="s">
        <v>78</v>
      </c>
      <c r="I21" s="11" t="str">
        <f t="shared" si="1"/>
        <v>enero</v>
      </c>
    </row>
    <row r="22" spans="1:9" x14ac:dyDescent="0.25">
      <c r="A22" s="21" t="s">
        <v>66</v>
      </c>
      <c r="B22" s="17" t="s">
        <v>67</v>
      </c>
      <c r="C22" s="4" t="s">
        <v>7</v>
      </c>
      <c r="D22" s="14">
        <v>46034</v>
      </c>
      <c r="E22" s="14">
        <v>46055</v>
      </c>
      <c r="F22" s="15">
        <v>46034</v>
      </c>
      <c r="G22" s="13">
        <v>1510</v>
      </c>
      <c r="H22" s="22" t="s">
        <v>78</v>
      </c>
      <c r="I22" s="11" t="str">
        <f t="shared" si="1"/>
        <v>enero</v>
      </c>
    </row>
    <row r="23" spans="1:9" x14ac:dyDescent="0.25">
      <c r="A23" s="21" t="s">
        <v>68</v>
      </c>
      <c r="B23" s="17" t="s">
        <v>73</v>
      </c>
      <c r="C23" s="4" t="s">
        <v>7</v>
      </c>
      <c r="D23" s="14">
        <v>46034</v>
      </c>
      <c r="E23" s="14">
        <v>46055</v>
      </c>
      <c r="F23" s="15">
        <v>46034</v>
      </c>
      <c r="G23" s="13">
        <v>1510</v>
      </c>
      <c r="H23" s="22" t="s">
        <v>78</v>
      </c>
      <c r="I23" s="11" t="str">
        <f t="shared" si="1"/>
        <v>enero</v>
      </c>
    </row>
    <row r="24" spans="1:9" x14ac:dyDescent="0.25">
      <c r="A24" s="21" t="s">
        <v>69</v>
      </c>
      <c r="B24" s="17" t="s">
        <v>73</v>
      </c>
      <c r="C24" s="4" t="s">
        <v>7</v>
      </c>
      <c r="D24" s="14">
        <v>46034</v>
      </c>
      <c r="E24" s="14">
        <v>46055</v>
      </c>
      <c r="F24" s="15">
        <v>46034</v>
      </c>
      <c r="G24" s="13">
        <v>1510</v>
      </c>
      <c r="H24" s="22" t="s">
        <v>78</v>
      </c>
      <c r="I24" s="11" t="str">
        <f t="shared" si="1"/>
        <v>enero</v>
      </c>
    </row>
    <row r="25" spans="1:9" x14ac:dyDescent="0.25">
      <c r="A25" s="21" t="s">
        <v>70</v>
      </c>
      <c r="B25" s="17" t="s">
        <v>67</v>
      </c>
      <c r="C25" s="4" t="s">
        <v>7</v>
      </c>
      <c r="D25" s="14">
        <v>46034</v>
      </c>
      <c r="E25" s="14">
        <v>46055</v>
      </c>
      <c r="F25" s="15">
        <v>46034</v>
      </c>
      <c r="G25" s="13">
        <v>1510</v>
      </c>
      <c r="H25" s="22" t="s">
        <v>78</v>
      </c>
      <c r="I25" s="11" t="str">
        <f t="shared" si="1"/>
        <v>enero</v>
      </c>
    </row>
    <row r="26" spans="1:9" x14ac:dyDescent="0.25">
      <c r="A26" s="21" t="s">
        <v>71</v>
      </c>
      <c r="B26" s="17" t="s">
        <v>73</v>
      </c>
      <c r="C26" s="4" t="s">
        <v>7</v>
      </c>
      <c r="D26" s="14">
        <v>46034</v>
      </c>
      <c r="E26" s="14">
        <v>46055</v>
      </c>
      <c r="F26" s="15">
        <v>46034</v>
      </c>
      <c r="G26" s="13">
        <v>1510</v>
      </c>
      <c r="H26" s="22" t="s">
        <v>78</v>
      </c>
      <c r="I26" s="11" t="str">
        <f t="shared" si="1"/>
        <v>enero</v>
      </c>
    </row>
    <row r="27" spans="1:9" x14ac:dyDescent="0.25">
      <c r="A27" s="21" t="s">
        <v>72</v>
      </c>
      <c r="B27" s="17" t="s">
        <v>67</v>
      </c>
      <c r="C27" s="4" t="s">
        <v>7</v>
      </c>
      <c r="D27" s="14">
        <v>46034</v>
      </c>
      <c r="E27" s="14">
        <v>46055</v>
      </c>
      <c r="F27" s="15">
        <v>46034</v>
      </c>
      <c r="G27" s="13">
        <v>1510</v>
      </c>
      <c r="H27" s="22" t="s">
        <v>78</v>
      </c>
      <c r="I27" s="11" t="str">
        <f t="shared" si="1"/>
        <v>enero</v>
      </c>
    </row>
    <row r="28" spans="1:9" x14ac:dyDescent="0.25">
      <c r="A28" s="21" t="s">
        <v>74</v>
      </c>
      <c r="B28" s="17" t="s">
        <v>75</v>
      </c>
      <c r="C28" s="4" t="s">
        <v>7</v>
      </c>
      <c r="D28" s="14">
        <v>46049</v>
      </c>
      <c r="E28" s="14">
        <v>46070</v>
      </c>
      <c r="F28" s="15">
        <v>46049</v>
      </c>
      <c r="G28" s="13">
        <v>1510</v>
      </c>
      <c r="H28" s="27" t="s">
        <v>96</v>
      </c>
      <c r="I28" s="11" t="str">
        <f t="shared" si="1"/>
        <v>enero</v>
      </c>
    </row>
    <row r="29" spans="1:9" x14ac:dyDescent="0.25">
      <c r="A29" s="21" t="s">
        <v>95</v>
      </c>
      <c r="B29" s="17" t="s">
        <v>75</v>
      </c>
      <c r="C29" s="4" t="s">
        <v>7</v>
      </c>
      <c r="D29" s="14">
        <v>46049</v>
      </c>
      <c r="E29" s="14">
        <v>46070</v>
      </c>
      <c r="F29" s="15">
        <v>46049</v>
      </c>
      <c r="G29" s="13">
        <v>1510</v>
      </c>
      <c r="H29" s="27" t="s">
        <v>96</v>
      </c>
      <c r="I29" s="11" t="str">
        <f t="shared" si="1"/>
        <v>enero</v>
      </c>
    </row>
    <row r="30" spans="1:9" x14ac:dyDescent="0.25">
      <c r="A30" s="20" t="s">
        <v>15</v>
      </c>
      <c r="B30" s="8" t="s">
        <v>16</v>
      </c>
      <c r="C30" s="1" t="s">
        <v>7</v>
      </c>
      <c r="D30" s="11">
        <v>46064</v>
      </c>
      <c r="E30" s="11">
        <v>46085</v>
      </c>
      <c r="F30" s="12">
        <v>46064</v>
      </c>
      <c r="G30" s="13">
        <v>1510</v>
      </c>
      <c r="H30" s="25" t="s">
        <v>11</v>
      </c>
      <c r="I30" s="11" t="str">
        <f t="shared" si="1"/>
        <v>febrero</v>
      </c>
    </row>
    <row r="31" spans="1:9" x14ac:dyDescent="0.25">
      <c r="A31" s="20" t="s">
        <v>17</v>
      </c>
      <c r="B31" s="8" t="s">
        <v>18</v>
      </c>
      <c r="C31" s="1" t="s">
        <v>7</v>
      </c>
      <c r="D31" s="11">
        <v>46064</v>
      </c>
      <c r="E31" s="11">
        <v>46085</v>
      </c>
      <c r="F31" s="12">
        <v>46064</v>
      </c>
      <c r="G31" s="13">
        <v>1510</v>
      </c>
      <c r="H31" s="22" t="s">
        <v>78</v>
      </c>
      <c r="I31" s="11" t="str">
        <f t="shared" si="1"/>
        <v>febrero</v>
      </c>
    </row>
    <row r="32" spans="1:9" x14ac:dyDescent="0.25">
      <c r="A32" s="20" t="s">
        <v>19</v>
      </c>
      <c r="B32" s="8" t="s">
        <v>20</v>
      </c>
      <c r="C32" s="1" t="s">
        <v>7</v>
      </c>
      <c r="D32" s="11">
        <v>46064</v>
      </c>
      <c r="E32" s="11">
        <v>46085</v>
      </c>
      <c r="F32" s="12">
        <v>46064</v>
      </c>
      <c r="G32" s="13">
        <v>2510</v>
      </c>
      <c r="H32" s="22" t="s">
        <v>78</v>
      </c>
      <c r="I32" s="11" t="str">
        <f t="shared" si="1"/>
        <v>febrero</v>
      </c>
    </row>
    <row r="33" spans="1:9" x14ac:dyDescent="0.25">
      <c r="A33" s="20" t="s">
        <v>21</v>
      </c>
      <c r="B33" s="8" t="s">
        <v>18</v>
      </c>
      <c r="C33" s="1" t="s">
        <v>7</v>
      </c>
      <c r="D33" s="11">
        <v>46064</v>
      </c>
      <c r="E33" s="11">
        <v>46085</v>
      </c>
      <c r="F33" s="12">
        <v>46064</v>
      </c>
      <c r="G33" s="13">
        <v>1510</v>
      </c>
      <c r="H33" s="22" t="s">
        <v>78</v>
      </c>
      <c r="I33" s="11" t="str">
        <f t="shared" si="1"/>
        <v>febrero</v>
      </c>
    </row>
    <row r="34" spans="1:9" x14ac:dyDescent="0.25">
      <c r="A34" s="20" t="s">
        <v>22</v>
      </c>
      <c r="B34" s="8" t="s">
        <v>18</v>
      </c>
      <c r="C34" s="1" t="s">
        <v>7</v>
      </c>
      <c r="D34" s="11">
        <v>46064</v>
      </c>
      <c r="E34" s="11">
        <v>46085</v>
      </c>
      <c r="F34" s="12">
        <v>46064</v>
      </c>
      <c r="G34" s="13">
        <v>2510</v>
      </c>
      <c r="H34" s="22" t="s">
        <v>78</v>
      </c>
      <c r="I34" s="11" t="str">
        <f t="shared" si="1"/>
        <v>febrero</v>
      </c>
    </row>
    <row r="35" spans="1:9" x14ac:dyDescent="0.25">
      <c r="A35" s="20" t="s">
        <v>23</v>
      </c>
      <c r="B35" s="8" t="s">
        <v>24</v>
      </c>
      <c r="C35" s="1" t="s">
        <v>7</v>
      </c>
      <c r="D35" s="11">
        <v>46063</v>
      </c>
      <c r="E35" s="11" t="s">
        <v>25</v>
      </c>
      <c r="F35" s="12">
        <v>46063</v>
      </c>
      <c r="G35" s="13">
        <v>8000</v>
      </c>
      <c r="H35" s="25" t="s">
        <v>11</v>
      </c>
      <c r="I35" s="11" t="str">
        <f t="shared" si="1"/>
        <v>febrero</v>
      </c>
    </row>
    <row r="36" spans="1:9" x14ac:dyDescent="0.25">
      <c r="A36" s="21" t="s">
        <v>54</v>
      </c>
      <c r="B36" s="17" t="s">
        <v>55</v>
      </c>
      <c r="C36" s="4" t="s">
        <v>7</v>
      </c>
      <c r="D36" s="14">
        <v>46070</v>
      </c>
      <c r="E36" s="14">
        <v>46091</v>
      </c>
      <c r="F36" s="15">
        <v>46070</v>
      </c>
      <c r="G36" s="13">
        <v>1510</v>
      </c>
      <c r="H36" s="25" t="s">
        <v>11</v>
      </c>
      <c r="I36" s="11" t="str">
        <f t="shared" si="0"/>
        <v>febrero</v>
      </c>
    </row>
    <row r="37" spans="1:9" x14ac:dyDescent="0.25">
      <c r="A37" s="21" t="s">
        <v>56</v>
      </c>
      <c r="B37" s="17" t="s">
        <v>57</v>
      </c>
      <c r="C37" s="4" t="s">
        <v>7</v>
      </c>
      <c r="D37" s="11">
        <v>46069</v>
      </c>
      <c r="E37" s="14">
        <v>46090</v>
      </c>
      <c r="F37" s="15">
        <v>46069</v>
      </c>
      <c r="G37" s="13">
        <v>1510</v>
      </c>
      <c r="H37" s="22" t="s">
        <v>78</v>
      </c>
      <c r="I37" s="11" t="str">
        <f t="shared" si="0"/>
        <v>febrero</v>
      </c>
    </row>
    <row r="38" spans="1:9" x14ac:dyDescent="0.25">
      <c r="A38" s="21" t="s">
        <v>58</v>
      </c>
      <c r="B38" s="17" t="s">
        <v>59</v>
      </c>
      <c r="C38" s="4" t="s">
        <v>7</v>
      </c>
      <c r="D38" s="14">
        <v>46069</v>
      </c>
      <c r="E38" s="14">
        <v>46090</v>
      </c>
      <c r="F38" s="15">
        <v>46069</v>
      </c>
      <c r="G38" s="13">
        <v>1510</v>
      </c>
      <c r="H38" s="24" t="s">
        <v>87</v>
      </c>
      <c r="I38" s="11" t="str">
        <f t="shared" si="0"/>
        <v>febrero</v>
      </c>
    </row>
    <row r="39" spans="1:9" x14ac:dyDescent="0.25">
      <c r="A39" s="20" t="s">
        <v>6</v>
      </c>
      <c r="B39" s="8" t="s">
        <v>10</v>
      </c>
      <c r="C39" s="1" t="s">
        <v>7</v>
      </c>
      <c r="D39" s="11">
        <v>46066</v>
      </c>
      <c r="E39" s="11">
        <v>46087</v>
      </c>
      <c r="F39" s="12">
        <v>46066</v>
      </c>
      <c r="G39" s="13">
        <v>1510</v>
      </c>
      <c r="H39" s="25" t="s">
        <v>11</v>
      </c>
      <c r="I39" s="30" t="str">
        <f>TEXT(D39,"mmmm")</f>
        <v>febrero</v>
      </c>
    </row>
    <row r="40" spans="1:9" x14ac:dyDescent="0.25">
      <c r="A40" s="21" t="s">
        <v>76</v>
      </c>
      <c r="B40" s="17" t="s">
        <v>77</v>
      </c>
      <c r="C40" s="4" t="s">
        <v>7</v>
      </c>
      <c r="D40" s="14">
        <v>46073</v>
      </c>
      <c r="E40" s="14">
        <v>46094</v>
      </c>
      <c r="F40" s="15">
        <v>46073</v>
      </c>
      <c r="G40" s="13">
        <v>1510</v>
      </c>
      <c r="H40" s="27" t="s">
        <v>96</v>
      </c>
      <c r="I40" s="11" t="str">
        <f t="shared" ref="I40:I61" si="2">TEXT(D40,"mmmm")</f>
        <v>febrero</v>
      </c>
    </row>
    <row r="41" spans="1:9" x14ac:dyDescent="0.25">
      <c r="A41" s="21" t="s">
        <v>85</v>
      </c>
      <c r="B41" s="17" t="s">
        <v>86</v>
      </c>
      <c r="C41" s="4" t="s">
        <v>7</v>
      </c>
      <c r="D41" s="14">
        <v>46071</v>
      </c>
      <c r="E41" s="14">
        <v>46092</v>
      </c>
      <c r="F41" s="15">
        <v>46071</v>
      </c>
      <c r="G41" s="13">
        <v>1510</v>
      </c>
      <c r="H41" s="24" t="s">
        <v>87</v>
      </c>
      <c r="I41" s="11" t="str">
        <f t="shared" si="2"/>
        <v>febrero</v>
      </c>
    </row>
    <row r="42" spans="1:9" x14ac:dyDescent="0.25">
      <c r="A42" s="21" t="s">
        <v>6</v>
      </c>
      <c r="B42" s="17" t="s">
        <v>10</v>
      </c>
      <c r="C42" s="4" t="s">
        <v>7</v>
      </c>
      <c r="D42" s="14">
        <v>46066</v>
      </c>
      <c r="E42" s="14">
        <v>46087</v>
      </c>
      <c r="F42" s="15">
        <v>46066</v>
      </c>
      <c r="G42" s="13">
        <v>1510</v>
      </c>
      <c r="H42" s="23" t="s">
        <v>11</v>
      </c>
      <c r="I42" s="11" t="str">
        <f t="shared" si="2"/>
        <v>febrero</v>
      </c>
    </row>
    <row r="43" spans="1:9" x14ac:dyDescent="0.25">
      <c r="A43" s="21" t="s">
        <v>89</v>
      </c>
      <c r="B43" s="17" t="s">
        <v>90</v>
      </c>
      <c r="C43" s="4" t="s">
        <v>7</v>
      </c>
      <c r="D43" s="14">
        <v>46080</v>
      </c>
      <c r="E43" s="14">
        <v>46101</v>
      </c>
      <c r="F43" s="15">
        <v>46080</v>
      </c>
      <c r="G43" s="13">
        <v>1510</v>
      </c>
      <c r="H43" s="22" t="s">
        <v>78</v>
      </c>
      <c r="I43" s="11" t="str">
        <f t="shared" si="2"/>
        <v>febrero</v>
      </c>
    </row>
    <row r="44" spans="1:9" x14ac:dyDescent="0.25">
      <c r="A44" s="21" t="s">
        <v>91</v>
      </c>
      <c r="B44" s="17" t="s">
        <v>92</v>
      </c>
      <c r="C44" s="4" t="s">
        <v>7</v>
      </c>
      <c r="D44" s="14">
        <v>46080</v>
      </c>
      <c r="E44" s="14">
        <v>46101</v>
      </c>
      <c r="F44" s="15">
        <v>46080</v>
      </c>
      <c r="G44" s="13">
        <v>1510</v>
      </c>
      <c r="H44" s="22" t="s">
        <v>78</v>
      </c>
      <c r="I44" s="11" t="str">
        <f t="shared" si="2"/>
        <v>febrero</v>
      </c>
    </row>
    <row r="45" spans="1:9" x14ac:dyDescent="0.25">
      <c r="A45" s="21" t="s">
        <v>93</v>
      </c>
      <c r="B45" s="17" t="s">
        <v>94</v>
      </c>
      <c r="C45" s="4" t="s">
        <v>7</v>
      </c>
      <c r="D45" s="14">
        <v>46066</v>
      </c>
      <c r="E45" s="14">
        <v>46087</v>
      </c>
      <c r="F45" s="15">
        <v>46066</v>
      </c>
      <c r="G45" s="13">
        <v>1510</v>
      </c>
      <c r="H45" s="27" t="s">
        <v>96</v>
      </c>
      <c r="I45" s="11" t="str">
        <f t="shared" si="2"/>
        <v>febrero</v>
      </c>
    </row>
    <row r="46" spans="1:9" x14ac:dyDescent="0.25">
      <c r="A46" s="21" t="s">
        <v>105</v>
      </c>
      <c r="B46" s="17" t="s">
        <v>73</v>
      </c>
      <c r="C46" s="4" t="s">
        <v>7</v>
      </c>
      <c r="D46" s="14">
        <v>46077</v>
      </c>
      <c r="E46" s="14">
        <v>46098</v>
      </c>
      <c r="F46" s="15">
        <v>46077</v>
      </c>
      <c r="G46" s="13">
        <v>1510</v>
      </c>
      <c r="H46" s="22" t="s">
        <v>78</v>
      </c>
      <c r="I46" s="11" t="str">
        <f t="shared" si="2"/>
        <v>febrero</v>
      </c>
    </row>
    <row r="47" spans="1:9" x14ac:dyDescent="0.25">
      <c r="A47" s="21" t="s">
        <v>107</v>
      </c>
      <c r="B47" s="17" t="s">
        <v>108</v>
      </c>
      <c r="C47" s="4" t="s">
        <v>7</v>
      </c>
      <c r="D47" s="14">
        <v>46078</v>
      </c>
      <c r="E47" s="14">
        <v>46099</v>
      </c>
      <c r="F47" s="15">
        <v>46078</v>
      </c>
      <c r="G47" s="13">
        <v>1510</v>
      </c>
      <c r="H47" s="22" t="s">
        <v>78</v>
      </c>
      <c r="I47" s="11" t="str">
        <f t="shared" si="2"/>
        <v>febrero</v>
      </c>
    </row>
    <row r="48" spans="1:9" x14ac:dyDescent="0.25">
      <c r="A48" s="21" t="s">
        <v>109</v>
      </c>
      <c r="B48" s="17" t="s">
        <v>73</v>
      </c>
      <c r="C48" s="4" t="s">
        <v>7</v>
      </c>
      <c r="D48" s="14">
        <v>46077</v>
      </c>
      <c r="E48" s="14">
        <v>46098</v>
      </c>
      <c r="F48" s="15">
        <v>46077</v>
      </c>
      <c r="G48" s="13">
        <v>1510</v>
      </c>
      <c r="H48" s="22" t="s">
        <v>78</v>
      </c>
      <c r="I48" s="11" t="str">
        <f t="shared" si="2"/>
        <v>febrero</v>
      </c>
    </row>
    <row r="49" spans="1:9" x14ac:dyDescent="0.25">
      <c r="A49" s="21" t="s">
        <v>110</v>
      </c>
      <c r="B49" s="17" t="s">
        <v>111</v>
      </c>
      <c r="C49" s="4" t="s">
        <v>7</v>
      </c>
      <c r="D49" s="14">
        <v>46069</v>
      </c>
      <c r="E49" s="14">
        <v>46090</v>
      </c>
      <c r="F49" s="15">
        <v>46069</v>
      </c>
      <c r="G49" s="13">
        <v>1510</v>
      </c>
      <c r="H49" s="24" t="s">
        <v>87</v>
      </c>
      <c r="I49" s="11" t="str">
        <f t="shared" si="2"/>
        <v>febrero</v>
      </c>
    </row>
    <row r="50" spans="1:9" x14ac:dyDescent="0.25">
      <c r="A50" s="21" t="s">
        <v>117</v>
      </c>
      <c r="B50" s="17" t="s">
        <v>118</v>
      </c>
      <c r="C50" s="4" t="s">
        <v>7</v>
      </c>
      <c r="D50" s="14">
        <v>46078</v>
      </c>
      <c r="E50" s="14">
        <v>46099</v>
      </c>
      <c r="F50" s="15">
        <v>46078</v>
      </c>
      <c r="G50" s="13">
        <v>1510</v>
      </c>
      <c r="H50" s="27" t="s">
        <v>96</v>
      </c>
      <c r="I50" s="11" t="str">
        <f t="shared" si="2"/>
        <v>febrero</v>
      </c>
    </row>
    <row r="51" spans="1:9" x14ac:dyDescent="0.25">
      <c r="A51" s="21" t="s">
        <v>119</v>
      </c>
      <c r="B51" s="17" t="s">
        <v>118</v>
      </c>
      <c r="C51" s="4" t="s">
        <v>7</v>
      </c>
      <c r="D51" s="14">
        <v>46078</v>
      </c>
      <c r="E51" s="14">
        <v>46099</v>
      </c>
      <c r="F51" s="15">
        <v>46078</v>
      </c>
      <c r="G51" s="13">
        <v>1510</v>
      </c>
      <c r="H51" s="27" t="s">
        <v>96</v>
      </c>
      <c r="I51" s="11" t="str">
        <f t="shared" si="2"/>
        <v>febrero</v>
      </c>
    </row>
    <row r="52" spans="1:9" x14ac:dyDescent="0.25">
      <c r="A52" s="21"/>
      <c r="B52" s="17"/>
      <c r="C52" s="4"/>
      <c r="D52" s="14"/>
      <c r="E52" s="14"/>
      <c r="F52" s="15"/>
      <c r="G52" s="13"/>
      <c r="H52" s="1"/>
      <c r="I52" s="11" t="str">
        <f t="shared" si="2"/>
        <v>enero</v>
      </c>
    </row>
    <row r="53" spans="1:9" x14ac:dyDescent="0.25">
      <c r="A53" s="21"/>
      <c r="B53" s="17"/>
      <c r="C53" s="4"/>
      <c r="D53" s="14"/>
      <c r="E53" s="14"/>
      <c r="F53" s="15"/>
      <c r="G53" s="13"/>
      <c r="H53" s="1"/>
      <c r="I53" s="11" t="str">
        <f t="shared" si="2"/>
        <v>enero</v>
      </c>
    </row>
    <row r="54" spans="1:9" x14ac:dyDescent="0.25">
      <c r="A54" s="21"/>
      <c r="B54" s="17"/>
      <c r="C54" s="4"/>
      <c r="D54" s="14"/>
      <c r="E54" s="14"/>
      <c r="F54" s="15"/>
      <c r="G54" s="13"/>
      <c r="H54" s="1"/>
      <c r="I54" s="11" t="str">
        <f t="shared" si="2"/>
        <v>enero</v>
      </c>
    </row>
    <row r="55" spans="1:9" x14ac:dyDescent="0.25">
      <c r="A55" s="21"/>
      <c r="B55" s="17"/>
      <c r="C55" s="4"/>
      <c r="D55" s="14"/>
      <c r="E55" s="14"/>
      <c r="F55" s="15"/>
      <c r="G55" s="13"/>
      <c r="H55" s="1"/>
      <c r="I55" s="11" t="str">
        <f t="shared" si="2"/>
        <v>enero</v>
      </c>
    </row>
    <row r="56" spans="1:9" x14ac:dyDescent="0.25">
      <c r="A56" s="21"/>
      <c r="B56" s="17"/>
      <c r="C56" s="4"/>
      <c r="D56" s="14"/>
      <c r="E56" s="14"/>
      <c r="F56" s="15"/>
      <c r="G56" s="13"/>
      <c r="H56" s="1"/>
      <c r="I56" s="11" t="str">
        <f t="shared" si="2"/>
        <v>enero</v>
      </c>
    </row>
    <row r="57" spans="1:9" x14ac:dyDescent="0.25">
      <c r="A57" s="21"/>
      <c r="B57" s="17"/>
      <c r="C57" s="4"/>
      <c r="D57" s="14"/>
      <c r="E57" s="14"/>
      <c r="F57" s="15"/>
      <c r="G57" s="13"/>
      <c r="H57" s="1"/>
      <c r="I57" s="11" t="str">
        <f t="shared" si="2"/>
        <v>enero</v>
      </c>
    </row>
    <row r="58" spans="1:9" x14ac:dyDescent="0.25">
      <c r="A58" s="21"/>
      <c r="B58" s="17"/>
      <c r="C58" s="4"/>
      <c r="D58" s="14"/>
      <c r="E58" s="14"/>
      <c r="F58" s="15"/>
      <c r="G58" s="13"/>
      <c r="H58" s="1"/>
      <c r="I58" s="11" t="str">
        <f t="shared" si="2"/>
        <v>enero</v>
      </c>
    </row>
    <row r="59" spans="1:9" x14ac:dyDescent="0.25">
      <c r="A59" s="21"/>
      <c r="B59" s="17"/>
      <c r="C59" s="4"/>
      <c r="D59" s="14"/>
      <c r="E59" s="14"/>
      <c r="F59" s="15"/>
      <c r="G59" s="13"/>
      <c r="H59" s="1"/>
      <c r="I59" s="11" t="str">
        <f t="shared" si="2"/>
        <v>enero</v>
      </c>
    </row>
    <row r="60" spans="1:9" x14ac:dyDescent="0.25">
      <c r="A60" s="21"/>
      <c r="B60" s="17"/>
      <c r="C60" s="4"/>
      <c r="D60" s="14"/>
      <c r="E60" s="14"/>
      <c r="F60" s="15"/>
      <c r="G60" s="13"/>
      <c r="H60" s="1"/>
      <c r="I60" s="11" t="str">
        <f t="shared" si="2"/>
        <v>enero</v>
      </c>
    </row>
    <row r="61" spans="1:9" x14ac:dyDescent="0.25">
      <c r="A61" s="21"/>
      <c r="B61" s="17"/>
      <c r="C61" s="4"/>
      <c r="D61" s="14"/>
      <c r="E61" s="14"/>
      <c r="F61" s="15"/>
      <c r="G61" s="13"/>
      <c r="H61" s="1"/>
      <c r="I61" s="11" t="str">
        <f t="shared" si="2"/>
        <v>enero</v>
      </c>
    </row>
    <row r="62" spans="1:9" x14ac:dyDescent="0.25">
      <c r="A62" s="34"/>
      <c r="B62" s="20"/>
      <c r="C62" s="35"/>
      <c r="D62" s="11"/>
      <c r="E62" s="11"/>
      <c r="F62" s="11"/>
      <c r="G62" s="13"/>
      <c r="H62" s="1"/>
      <c r="I62" s="11" t="str">
        <f t="shared" ref="I62:I69" si="3">TEXT(D62,"mmmm")</f>
        <v>enero</v>
      </c>
    </row>
    <row r="63" spans="1:9" x14ac:dyDescent="0.25">
      <c r="A63" s="34"/>
      <c r="B63" s="20"/>
      <c r="C63" s="35"/>
      <c r="D63" s="11"/>
      <c r="E63" s="11"/>
      <c r="F63" s="11"/>
      <c r="G63" s="13"/>
      <c r="H63" s="1"/>
      <c r="I63" s="11" t="str">
        <f t="shared" si="3"/>
        <v>enero</v>
      </c>
    </row>
    <row r="64" spans="1:9" x14ac:dyDescent="0.25">
      <c r="A64" s="34"/>
      <c r="B64" s="20"/>
      <c r="C64" s="35"/>
      <c r="D64" s="11"/>
      <c r="E64" s="11"/>
      <c r="F64" s="11"/>
      <c r="G64" s="13"/>
      <c r="H64" s="1"/>
      <c r="I64" s="11" t="str">
        <f t="shared" si="3"/>
        <v>enero</v>
      </c>
    </row>
    <row r="65" spans="1:9" x14ac:dyDescent="0.25">
      <c r="A65" s="34"/>
      <c r="B65" s="20"/>
      <c r="C65" s="35"/>
      <c r="D65" s="11"/>
      <c r="E65" s="11"/>
      <c r="F65" s="11"/>
      <c r="G65" s="13"/>
      <c r="H65" s="1"/>
      <c r="I65" s="11" t="str">
        <f t="shared" si="3"/>
        <v>enero</v>
      </c>
    </row>
    <row r="66" spans="1:9" x14ac:dyDescent="0.25">
      <c r="A66" s="34"/>
      <c r="B66" s="20"/>
      <c r="C66" s="35"/>
      <c r="D66" s="11"/>
      <c r="E66" s="11"/>
      <c r="F66" s="11"/>
      <c r="G66" s="13"/>
      <c r="H66" s="1"/>
      <c r="I66" s="11" t="str">
        <f t="shared" si="3"/>
        <v>enero</v>
      </c>
    </row>
    <row r="67" spans="1:9" x14ac:dyDescent="0.25">
      <c r="A67" s="34"/>
      <c r="B67" s="20"/>
      <c r="C67" s="35"/>
      <c r="D67" s="11"/>
      <c r="E67" s="11"/>
      <c r="F67" s="11"/>
      <c r="G67" s="13"/>
      <c r="H67" s="1"/>
      <c r="I67" s="11" t="str">
        <f t="shared" si="3"/>
        <v>enero</v>
      </c>
    </row>
    <row r="68" spans="1:9" x14ac:dyDescent="0.25">
      <c r="A68" s="34"/>
      <c r="B68" s="20"/>
      <c r="C68" s="35"/>
      <c r="D68" s="11"/>
      <c r="E68" s="11"/>
      <c r="F68" s="11"/>
      <c r="G68" s="13"/>
      <c r="H68" s="1"/>
      <c r="I68" s="11" t="str">
        <f t="shared" si="3"/>
        <v>enero</v>
      </c>
    </row>
    <row r="69" spans="1:9" x14ac:dyDescent="0.25">
      <c r="A69" s="36"/>
      <c r="B69" s="21"/>
      <c r="C69" s="29"/>
      <c r="D69" s="14"/>
      <c r="E69" s="14"/>
      <c r="F69" s="14"/>
      <c r="G69" s="37"/>
      <c r="H69" s="4"/>
      <c r="I69" s="14" t="str">
        <f t="shared" si="3"/>
        <v>enero</v>
      </c>
    </row>
    <row r="70" spans="1:9" x14ac:dyDescent="0.25">
      <c r="A70" s="34"/>
      <c r="B70" s="20"/>
      <c r="C70" s="35"/>
      <c r="D70" s="11"/>
      <c r="E70" s="11"/>
      <c r="F70" s="11"/>
      <c r="G70" s="13"/>
      <c r="H70" s="1"/>
      <c r="I70" s="11" t="str">
        <f t="shared" ref="I70:I83" si="4">TEXT(D70,"mmmm")</f>
        <v>enero</v>
      </c>
    </row>
    <row r="71" spans="1:9" x14ac:dyDescent="0.25">
      <c r="A71" s="34"/>
      <c r="B71" s="20"/>
      <c r="C71" s="35"/>
      <c r="D71" s="11"/>
      <c r="E71" s="11"/>
      <c r="F71" s="11"/>
      <c r="G71" s="13"/>
      <c r="H71" s="1"/>
      <c r="I71" s="11" t="str">
        <f t="shared" si="4"/>
        <v>enero</v>
      </c>
    </row>
    <row r="72" spans="1:9" x14ac:dyDescent="0.25">
      <c r="A72" s="34"/>
      <c r="B72" s="20"/>
      <c r="C72" s="35"/>
      <c r="D72" s="11"/>
      <c r="E72" s="11"/>
      <c r="F72" s="11"/>
      <c r="G72" s="13"/>
      <c r="H72" s="1"/>
      <c r="I72" s="11" t="str">
        <f t="shared" si="4"/>
        <v>enero</v>
      </c>
    </row>
    <row r="73" spans="1:9" x14ac:dyDescent="0.25">
      <c r="A73" s="34"/>
      <c r="B73" s="20"/>
      <c r="C73" s="35"/>
      <c r="D73" s="11"/>
      <c r="E73" s="11"/>
      <c r="F73" s="11"/>
      <c r="G73" s="13"/>
      <c r="H73" s="1"/>
      <c r="I73" s="11" t="str">
        <f t="shared" si="4"/>
        <v>enero</v>
      </c>
    </row>
    <row r="74" spans="1:9" x14ac:dyDescent="0.25">
      <c r="A74" s="34"/>
      <c r="B74" s="20"/>
      <c r="C74" s="35"/>
      <c r="D74" s="11"/>
      <c r="E74" s="11"/>
      <c r="F74" s="11"/>
      <c r="G74" s="13"/>
      <c r="H74" s="1"/>
      <c r="I74" s="11" t="str">
        <f t="shared" si="4"/>
        <v>enero</v>
      </c>
    </row>
    <row r="75" spans="1:9" x14ac:dyDescent="0.25">
      <c r="A75" s="34"/>
      <c r="B75" s="20"/>
      <c r="C75" s="35"/>
      <c r="D75" s="11"/>
      <c r="E75" s="11"/>
      <c r="F75" s="11"/>
      <c r="G75" s="13"/>
      <c r="H75" s="1"/>
      <c r="I75" s="11" t="str">
        <f t="shared" si="4"/>
        <v>enero</v>
      </c>
    </row>
    <row r="76" spans="1:9" x14ac:dyDescent="0.25">
      <c r="A76" s="34"/>
      <c r="B76" s="20"/>
      <c r="C76" s="35"/>
      <c r="D76" s="11"/>
      <c r="E76" s="11"/>
      <c r="F76" s="11"/>
      <c r="G76" s="13"/>
      <c r="H76" s="1"/>
      <c r="I76" s="11" t="str">
        <f t="shared" si="4"/>
        <v>enero</v>
      </c>
    </row>
    <row r="77" spans="1:9" x14ac:dyDescent="0.25">
      <c r="A77" s="34"/>
      <c r="B77" s="20"/>
      <c r="C77" s="35"/>
      <c r="D77" s="11"/>
      <c r="E77" s="11"/>
      <c r="F77" s="11"/>
      <c r="G77" s="13"/>
      <c r="H77" s="1"/>
      <c r="I77" s="11" t="str">
        <f t="shared" si="4"/>
        <v>enero</v>
      </c>
    </row>
    <row r="78" spans="1:9" x14ac:dyDescent="0.25">
      <c r="A78" s="34"/>
      <c r="B78" s="20"/>
      <c r="C78" s="35"/>
      <c r="D78" s="11"/>
      <c r="E78" s="11"/>
      <c r="F78" s="11"/>
      <c r="G78" s="13"/>
      <c r="H78" s="1"/>
      <c r="I78" s="11" t="str">
        <f t="shared" si="4"/>
        <v>enero</v>
      </c>
    </row>
    <row r="79" spans="1:9" x14ac:dyDescent="0.25">
      <c r="A79" s="34"/>
      <c r="B79" s="20"/>
      <c r="C79" s="35"/>
      <c r="D79" s="11"/>
      <c r="E79" s="11"/>
      <c r="F79" s="11"/>
      <c r="G79" s="13"/>
      <c r="H79" s="1"/>
      <c r="I79" s="11" t="str">
        <f t="shared" si="4"/>
        <v>enero</v>
      </c>
    </row>
    <row r="80" spans="1:9" x14ac:dyDescent="0.25">
      <c r="A80" s="34"/>
      <c r="B80" s="20"/>
      <c r="C80" s="35"/>
      <c r="D80" s="11"/>
      <c r="E80" s="11"/>
      <c r="F80" s="11"/>
      <c r="G80" s="13"/>
      <c r="H80" s="1"/>
      <c r="I80" s="11" t="str">
        <f t="shared" si="4"/>
        <v>enero</v>
      </c>
    </row>
    <row r="81" spans="1:9" x14ac:dyDescent="0.25">
      <c r="A81" s="34"/>
      <c r="B81" s="20"/>
      <c r="C81" s="35"/>
      <c r="D81" s="11"/>
      <c r="E81" s="11"/>
      <c r="F81" s="11"/>
      <c r="G81" s="13"/>
      <c r="H81" s="1"/>
      <c r="I81" s="11" t="str">
        <f t="shared" si="4"/>
        <v>enero</v>
      </c>
    </row>
    <row r="82" spans="1:9" x14ac:dyDescent="0.25">
      <c r="A82" s="34"/>
      <c r="B82" s="20"/>
      <c r="C82" s="35"/>
      <c r="D82" s="11"/>
      <c r="E82" s="11"/>
      <c r="F82" s="11"/>
      <c r="G82" s="13"/>
      <c r="H82" s="1"/>
      <c r="I82" s="11" t="str">
        <f t="shared" si="4"/>
        <v>enero</v>
      </c>
    </row>
    <row r="83" spans="1:9" x14ac:dyDescent="0.25">
      <c r="A83" s="36"/>
      <c r="B83" s="21"/>
      <c r="C83" s="29"/>
      <c r="D83" s="14"/>
      <c r="E83" s="14"/>
      <c r="F83" s="14"/>
      <c r="G83" s="37"/>
      <c r="H83" s="4"/>
      <c r="I83" s="14" t="str">
        <f t="shared" si="4"/>
        <v>enero</v>
      </c>
    </row>
  </sheetData>
  <phoneticPr fontId="3" type="noConversion"/>
  <conditionalFormatting sqref="A2:I49">
    <cfRule type="expression" dxfId="1" priority="1">
      <formula>AND($K$2&lt;&gt;"", ISNUMBER(SEARCH($K$2, $A2)))</formula>
    </cfRule>
  </conditionalFormatting>
  <conditionalFormatting sqref="M2">
    <cfRule type="expression" dxfId="0" priority="18">
      <formula>SEARCH($K$2, $C39)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EC5A4-3710-4A9B-A694-3ACC8EA043AD}">
  <sheetPr codeName="Hoja2"/>
  <dimension ref="B2:K81"/>
  <sheetViews>
    <sheetView workbookViewId="0">
      <selection activeCell="D41" sqref="D41"/>
    </sheetView>
  </sheetViews>
  <sheetFormatPr baseColWidth="10" defaultRowHeight="15" x14ac:dyDescent="0.25"/>
  <cols>
    <col min="1" max="2" width="10.42578125" bestFit="1" customWidth="1"/>
    <col min="3" max="3" width="20" bestFit="1" customWidth="1"/>
    <col min="4" max="4" width="44.42578125" bestFit="1" customWidth="1"/>
    <col min="5" max="5" width="70.7109375" bestFit="1" customWidth="1"/>
    <col min="6" max="6" width="14.42578125" bestFit="1" customWidth="1"/>
    <col min="7" max="7" width="25.7109375" bestFit="1" customWidth="1"/>
    <col min="8" max="8" width="14.140625" bestFit="1" customWidth="1"/>
    <col min="9" max="9" width="17.5703125" bestFit="1" customWidth="1"/>
    <col min="10" max="10" width="10.42578125" bestFit="1" customWidth="1"/>
    <col min="11" max="11" width="13.85546875" bestFit="1" customWidth="1"/>
  </cols>
  <sheetData>
    <row r="2" spans="2:11" x14ac:dyDescent="0.25">
      <c r="C2" s="41" t="s">
        <v>9</v>
      </c>
      <c r="D2" s="42"/>
      <c r="E2" s="42"/>
      <c r="F2" s="42"/>
      <c r="G2" s="42"/>
      <c r="H2" s="42"/>
      <c r="I2" s="42"/>
      <c r="J2" s="42"/>
      <c r="K2" s="42"/>
    </row>
    <row r="3" spans="2:11" x14ac:dyDescent="0.25">
      <c r="C3" s="26" t="s">
        <v>0</v>
      </c>
      <c r="D3" s="26" t="s">
        <v>79</v>
      </c>
      <c r="E3" s="26" t="s">
        <v>80</v>
      </c>
      <c r="F3" s="26" t="s">
        <v>81</v>
      </c>
      <c r="G3" s="26" t="s">
        <v>82</v>
      </c>
      <c r="H3" s="26" t="s">
        <v>5</v>
      </c>
      <c r="I3" s="26" t="s">
        <v>83</v>
      </c>
      <c r="J3" s="26" t="s">
        <v>84</v>
      </c>
      <c r="K3" s="32" t="s">
        <v>106</v>
      </c>
    </row>
    <row r="4" spans="2:11" x14ac:dyDescent="0.25">
      <c r="C4" t="str" cm="1">
        <f t="array" ref="C4:K4">_xlfn._xlws.FILTER(TablaDatos[],TablaDatos[Nombre del cliente]="BOSCO ROBERTO ZAMPIERI MORALES ","No hay registro")</f>
        <v>T-4CHZ1Y</v>
      </c>
      <c r="D4" t="str">
        <v xml:space="preserve">BOSCO ROBERTO ZAMPIERI MORALES </v>
      </c>
      <c r="E4" t="str">
        <v>APROVACION Y REVICIÓN DE PLANOS TOPOGRAFICOS CON FINES CATASTRALES</v>
      </c>
      <c r="F4" s="7">
        <v>46064</v>
      </c>
      <c r="G4" s="7">
        <v>46085</v>
      </c>
      <c r="H4" s="7">
        <v>46064</v>
      </c>
      <c r="I4" s="9">
        <v>1510</v>
      </c>
      <c r="J4" t="str">
        <v>Entregado</v>
      </c>
      <c r="K4" t="str">
        <v>febrero</v>
      </c>
    </row>
    <row r="5" spans="2:11" x14ac:dyDescent="0.25">
      <c r="F5" s="7"/>
      <c r="G5" s="7"/>
      <c r="H5" s="7"/>
      <c r="I5" s="9"/>
    </row>
    <row r="6" spans="2:11" x14ac:dyDescent="0.25">
      <c r="B6" s="40" t="s">
        <v>104</v>
      </c>
      <c r="C6" s="40"/>
      <c r="D6" s="40"/>
      <c r="E6" s="40"/>
      <c r="F6" s="40"/>
      <c r="G6" s="40"/>
      <c r="H6" s="40"/>
      <c r="I6" s="40"/>
      <c r="J6" s="40"/>
      <c r="K6" s="40"/>
    </row>
    <row r="7" spans="2:11" x14ac:dyDescent="0.25">
      <c r="B7" s="38" t="s">
        <v>103</v>
      </c>
      <c r="C7" s="38" t="s">
        <v>0</v>
      </c>
      <c r="D7" s="38" t="s">
        <v>79</v>
      </c>
      <c r="E7" s="38" t="s">
        <v>80</v>
      </c>
      <c r="F7" s="38" t="s">
        <v>81</v>
      </c>
      <c r="G7" s="38" t="s">
        <v>82</v>
      </c>
      <c r="H7" s="38" t="s">
        <v>5</v>
      </c>
      <c r="I7" s="38" t="s">
        <v>83</v>
      </c>
      <c r="J7" s="38" t="s">
        <v>84</v>
      </c>
      <c r="K7" s="32" t="s">
        <v>106</v>
      </c>
    </row>
    <row r="8" spans="2:11" x14ac:dyDescent="0.25">
      <c r="B8" t="s">
        <v>93</v>
      </c>
      <c r="C8" t="str" cm="1">
        <f t="array" ref="C8:K8">_xlfn._xlws.FILTER('BAUCHER 2026'!A2:I1000, 'BAUCHER 2026'!A2:A1000 = B8, "No hay datos para este conceptoo ")</f>
        <v>T-4CI3L3</v>
      </c>
      <c r="D8" t="str">
        <v>CARMEN CECILIA FLORES GUTIERREZ</v>
      </c>
      <c r="E8" t="str">
        <v>APROVACION Y REVICIÓN DE PLANOS TOPOGRAFICOS CON FINES CATASTRALES</v>
      </c>
      <c r="F8" s="7">
        <v>46066</v>
      </c>
      <c r="G8" s="7">
        <v>46087</v>
      </c>
      <c r="H8" s="7">
        <v>46066</v>
      </c>
      <c r="I8" s="9">
        <v>1510</v>
      </c>
      <c r="J8" t="str">
        <v>Aprovados</v>
      </c>
      <c r="K8" t="str">
        <v>febrero</v>
      </c>
    </row>
    <row r="10" spans="2:11" x14ac:dyDescent="0.25">
      <c r="I10" s="9"/>
    </row>
    <row r="11" spans="2:11" x14ac:dyDescent="0.25">
      <c r="I11" s="9"/>
    </row>
    <row r="12" spans="2:11" x14ac:dyDescent="0.25">
      <c r="B12" s="40" t="s">
        <v>97</v>
      </c>
      <c r="C12" s="40"/>
      <c r="D12" s="40"/>
      <c r="E12" s="40"/>
      <c r="F12" s="40"/>
      <c r="G12" s="40"/>
      <c r="H12" s="40"/>
      <c r="I12" s="40"/>
      <c r="J12" s="40"/>
      <c r="K12" s="40"/>
    </row>
    <row r="13" spans="2:11" x14ac:dyDescent="0.25">
      <c r="B13" s="38" t="s">
        <v>100</v>
      </c>
      <c r="C13" s="38" t="s">
        <v>0</v>
      </c>
      <c r="D13" s="38" t="s">
        <v>79</v>
      </c>
      <c r="E13" s="38" t="s">
        <v>80</v>
      </c>
      <c r="F13" s="38" t="s">
        <v>81</v>
      </c>
      <c r="G13" s="38" t="s">
        <v>82</v>
      </c>
      <c r="H13" s="38" t="s">
        <v>5</v>
      </c>
      <c r="I13" s="38" t="s">
        <v>83</v>
      </c>
      <c r="J13" s="38" t="s">
        <v>84</v>
      </c>
      <c r="K13" s="32" t="s">
        <v>112</v>
      </c>
    </row>
    <row r="14" spans="2:11" x14ac:dyDescent="0.25">
      <c r="B14" s="7">
        <v>46044</v>
      </c>
      <c r="C14" t="str" cm="1">
        <f t="array" ref="C14:K14">_xlfn._xlws.FILTER('BAUCHER 2026'!A2:I1000, 'BAUCHER 2026'!D2:D1000 = B14, "No hay datos para esta fecha")</f>
        <v>T-4CH6LX</v>
      </c>
      <c r="D14" t="str">
        <v>MIGUEL ANGEL ABEA BRAVO</v>
      </c>
      <c r="E14" t="str">
        <v>APROVACION Y REVICIÓN DE PLANOS TOPOGRAFICOS CON FINES CATASTRALES</v>
      </c>
      <c r="F14" s="7">
        <v>46044</v>
      </c>
      <c r="G14" s="7">
        <v>46065</v>
      </c>
      <c r="H14" s="7">
        <v>46044</v>
      </c>
      <c r="I14" s="9">
        <v>1510</v>
      </c>
      <c r="J14" t="str">
        <v>Espera</v>
      </c>
      <c r="K14" t="str">
        <v>enero</v>
      </c>
    </row>
    <row r="15" spans="2:11" x14ac:dyDescent="0.25">
      <c r="I15" s="9"/>
    </row>
    <row r="16" spans="2:11" x14ac:dyDescent="0.25">
      <c r="I16" s="9"/>
    </row>
    <row r="17" spans="2:11" x14ac:dyDescent="0.25">
      <c r="I17" s="9"/>
    </row>
    <row r="18" spans="2:11" x14ac:dyDescent="0.25">
      <c r="B18" s="40" t="s">
        <v>98</v>
      </c>
      <c r="C18" s="40"/>
      <c r="D18" s="40"/>
      <c r="E18" s="40"/>
      <c r="F18" s="40"/>
      <c r="G18" s="40"/>
      <c r="H18" s="40"/>
      <c r="I18" s="40"/>
      <c r="J18" s="40"/>
      <c r="K18" s="40"/>
    </row>
    <row r="19" spans="2:11" x14ac:dyDescent="0.25">
      <c r="B19" s="38" t="s">
        <v>100</v>
      </c>
      <c r="C19" s="38" t="s">
        <v>0</v>
      </c>
      <c r="D19" s="38" t="s">
        <v>79</v>
      </c>
      <c r="E19" s="38" t="s">
        <v>80</v>
      </c>
      <c r="F19" s="38" t="s">
        <v>81</v>
      </c>
      <c r="G19" s="38" t="s">
        <v>82</v>
      </c>
      <c r="H19" s="38" t="s">
        <v>5</v>
      </c>
      <c r="I19" s="38" t="s">
        <v>83</v>
      </c>
      <c r="J19" s="38" t="s">
        <v>84</v>
      </c>
      <c r="K19" s="32" t="s">
        <v>113</v>
      </c>
    </row>
    <row r="20" spans="2:11" x14ac:dyDescent="0.25">
      <c r="B20" s="7">
        <v>46070</v>
      </c>
      <c r="C20" t="str" cm="1">
        <f t="array" ref="C20:K23">_xlfn._xlws.FILTER('BAUCHER 2026'!A2:I1000, 'BAUCHER 2026'!E2:E1000= B20, "No hay datos para esta fecha")</f>
        <v>T-4CHCQJ</v>
      </c>
      <c r="D20" t="str">
        <v xml:space="preserve">MILTON JAVIER ZAVALA </v>
      </c>
      <c r="E20" t="str">
        <v>APROVACION Y REVICIÓN DE PLANOS TOPOGRAFICOS CON FINES CATASTRALES</v>
      </c>
      <c r="F20" s="7">
        <v>46049</v>
      </c>
      <c r="G20" s="7">
        <v>46070</v>
      </c>
      <c r="H20" s="7">
        <v>46049</v>
      </c>
      <c r="I20" s="9">
        <v>1510</v>
      </c>
      <c r="J20" t="str">
        <v>Entregado</v>
      </c>
      <c r="K20" t="str">
        <v>enero</v>
      </c>
    </row>
    <row r="21" spans="2:11" x14ac:dyDescent="0.25">
      <c r="C21" t="str">
        <v>T-4CHCPI</v>
      </c>
      <c r="D21" t="str">
        <v xml:space="preserve">MILTON JAVIER ZAVALA </v>
      </c>
      <c r="E21" t="str">
        <v>APROVACION Y REVICIÓN DE PLANOS TOPOGRAFICOS CON FINES CATASTRALES</v>
      </c>
      <c r="F21" s="7">
        <v>46049</v>
      </c>
      <c r="G21" s="7">
        <v>46070</v>
      </c>
      <c r="H21" s="7">
        <v>46049</v>
      </c>
      <c r="I21" s="9">
        <v>1510</v>
      </c>
      <c r="J21" t="str">
        <v>Entregado</v>
      </c>
      <c r="K21" t="str">
        <v>enero</v>
      </c>
    </row>
    <row r="22" spans="2:11" x14ac:dyDescent="0.25">
      <c r="C22" t="str">
        <v>T-4CHCQK</v>
      </c>
      <c r="D22" t="str">
        <v xml:space="preserve">DIONICIO CUADRA KAUTZ </v>
      </c>
      <c r="E22" t="str">
        <v>APROVACION Y REVICIÓN DE PLANOS TOPOGRAFICOS CON FINES CATASTRALES</v>
      </c>
      <c r="F22" s="7">
        <v>46049</v>
      </c>
      <c r="G22" s="7">
        <v>46070</v>
      </c>
      <c r="H22" s="7">
        <v>46049</v>
      </c>
      <c r="I22" s="9">
        <v>1510</v>
      </c>
      <c r="J22" t="str">
        <v>Aprovados</v>
      </c>
      <c r="K22" t="str">
        <v>enero</v>
      </c>
    </row>
    <row r="23" spans="2:11" x14ac:dyDescent="0.25">
      <c r="C23" t="str">
        <v>T-4CHCQ0</v>
      </c>
      <c r="D23" t="str">
        <v xml:space="preserve">DIONICIO CUADRA KAUTZ </v>
      </c>
      <c r="E23" t="str">
        <v>APROVACION Y REVICIÓN DE PLANOS TOPOGRAFICOS CON FINES CATASTRALES</v>
      </c>
      <c r="F23" s="7">
        <v>46049</v>
      </c>
      <c r="G23" s="7">
        <v>46070</v>
      </c>
      <c r="H23" s="7">
        <v>46049</v>
      </c>
      <c r="I23" s="9">
        <v>1510</v>
      </c>
      <c r="J23" t="str">
        <v>Aprovados</v>
      </c>
      <c r="K23" t="str">
        <v>enero</v>
      </c>
    </row>
    <row r="26" spans="2:11" x14ac:dyDescent="0.25">
      <c r="B26" s="40" t="s">
        <v>99</v>
      </c>
      <c r="C26" s="40"/>
      <c r="D26" s="40"/>
      <c r="E26" s="40"/>
      <c r="F26" s="40"/>
      <c r="G26" s="40"/>
      <c r="H26" s="40"/>
      <c r="I26" s="40"/>
      <c r="J26" s="40"/>
      <c r="K26" s="40"/>
    </row>
    <row r="27" spans="2:11" x14ac:dyDescent="0.25">
      <c r="B27" s="38" t="s">
        <v>100</v>
      </c>
      <c r="C27" s="38" t="s">
        <v>0</v>
      </c>
      <c r="D27" s="38" t="s">
        <v>79</v>
      </c>
      <c r="E27" s="38" t="s">
        <v>80</v>
      </c>
      <c r="F27" s="38" t="s">
        <v>81</v>
      </c>
      <c r="G27" s="38" t="s">
        <v>82</v>
      </c>
      <c r="H27" s="38" t="s">
        <v>5</v>
      </c>
      <c r="I27" s="38" t="s">
        <v>83</v>
      </c>
      <c r="J27" s="38" t="s">
        <v>84</v>
      </c>
      <c r="K27" s="32" t="s">
        <v>114</v>
      </c>
    </row>
    <row r="28" spans="2:11" x14ac:dyDescent="0.25">
      <c r="B28" s="28">
        <v>46043</v>
      </c>
      <c r="C28" t="str" cm="1">
        <f t="array" ref="C28:K31">_xlfn._xlws.FILTER('BAUCHER 2026'!A2:I1000, 'BAUCHER 2026'!F2:F1000= B28, "No hay datos para esta fecha")</f>
        <v>T-4CH4KD</v>
      </c>
      <c r="D28" t="str">
        <v>MARIA DE JESUS GONZALES GUADAMUZ</v>
      </c>
      <c r="E28" t="str">
        <v>APROVACION Y REVICIÓN DE PLANOS TOPOGRAFICOS CON FINES CATASTRALES</v>
      </c>
      <c r="F28">
        <v>46043</v>
      </c>
      <c r="G28">
        <v>46064</v>
      </c>
      <c r="H28">
        <v>46043</v>
      </c>
      <c r="I28" s="9">
        <v>1510</v>
      </c>
      <c r="J28" t="str">
        <v>Espera</v>
      </c>
      <c r="K28" t="str">
        <v>enero</v>
      </c>
    </row>
    <row r="29" spans="2:11" x14ac:dyDescent="0.25">
      <c r="C29" t="str">
        <v>T-4CH4LJ</v>
      </c>
      <c r="D29" t="str">
        <v xml:space="preserve">GEORGE THOMAS HAMILTON </v>
      </c>
      <c r="E29" t="str">
        <v>APROVACION Y REVICIÓN DE PLANOS TOPOGRAFICOS CON FINES CATASTRALES</v>
      </c>
      <c r="F29">
        <v>46043</v>
      </c>
      <c r="G29">
        <v>46064</v>
      </c>
      <c r="H29">
        <v>46043</v>
      </c>
      <c r="I29" s="9">
        <v>1510</v>
      </c>
      <c r="J29" t="str">
        <v>Espera</v>
      </c>
      <c r="K29" t="str">
        <v>enero</v>
      </c>
    </row>
    <row r="30" spans="2:11" x14ac:dyDescent="0.25">
      <c r="C30" t="str">
        <v>T-4CH4KT</v>
      </c>
      <c r="D30" t="str">
        <v>GIOVANIA AUXILIADORA WELLINGSTON ALFONSO</v>
      </c>
      <c r="E30" t="str">
        <v>APROVACION Y REVICIÓN DE PLANOS TOPOGRAFICOS CON FINES CATASTRALES</v>
      </c>
      <c r="F30">
        <v>46043</v>
      </c>
      <c r="G30">
        <v>46064</v>
      </c>
      <c r="H30">
        <v>46043</v>
      </c>
      <c r="I30" s="9">
        <v>1510</v>
      </c>
      <c r="J30" t="str">
        <v>Espera</v>
      </c>
      <c r="K30" t="str">
        <v>enero</v>
      </c>
    </row>
    <row r="31" spans="2:11" x14ac:dyDescent="0.25">
      <c r="C31" t="str">
        <v>T-4CH4JR</v>
      </c>
      <c r="D31" t="str">
        <v xml:space="preserve">ANA LOPEZ BERMUDEZ </v>
      </c>
      <c r="E31" t="str">
        <v>APROVACION Y REVICIÓN DE PLANOS TOPOGRAFICOS CON FINES CATASTRALES</v>
      </c>
      <c r="F31">
        <v>46043</v>
      </c>
      <c r="G31">
        <v>46064</v>
      </c>
      <c r="H31">
        <v>46043</v>
      </c>
      <c r="I31" s="9">
        <v>1510</v>
      </c>
      <c r="J31" t="str">
        <v>Espera</v>
      </c>
      <c r="K31" t="str">
        <v>enero</v>
      </c>
    </row>
    <row r="32" spans="2:11" x14ac:dyDescent="0.25">
      <c r="I32" s="9"/>
    </row>
    <row r="33" spans="2:11" x14ac:dyDescent="0.25">
      <c r="I33" s="9"/>
    </row>
    <row r="34" spans="2:11" x14ac:dyDescent="0.25">
      <c r="B34" s="40" t="s">
        <v>101</v>
      </c>
      <c r="C34" s="40"/>
      <c r="D34" s="40"/>
      <c r="E34" s="40"/>
      <c r="F34" s="40"/>
      <c r="G34" s="40"/>
      <c r="H34" s="40"/>
      <c r="I34" s="40"/>
      <c r="J34" s="40"/>
      <c r="K34" s="40"/>
    </row>
    <row r="35" spans="2:11" x14ac:dyDescent="0.25">
      <c r="B35" s="26" t="s">
        <v>12</v>
      </c>
      <c r="C35" s="38" t="s">
        <v>0</v>
      </c>
      <c r="D35" s="38" t="s">
        <v>79</v>
      </c>
      <c r="E35" s="38" t="s">
        <v>80</v>
      </c>
      <c r="F35" s="38" t="s">
        <v>81</v>
      </c>
      <c r="G35" s="38" t="s">
        <v>82</v>
      </c>
      <c r="H35" s="38" t="s">
        <v>5</v>
      </c>
      <c r="I35" s="38" t="s">
        <v>83</v>
      </c>
      <c r="J35" s="38" t="s">
        <v>84</v>
      </c>
      <c r="K35" s="32" t="s">
        <v>106</v>
      </c>
    </row>
    <row r="36" spans="2:11" x14ac:dyDescent="0.25">
      <c r="B36" s="39" t="s">
        <v>102</v>
      </c>
      <c r="C36" t="str" cm="1">
        <f t="array" ref="C36:K41">_xlfn._xlws.FILTER('BAUCHER 2026'!A2:I1000, 'BAUCHER 2026'!H2:H1000= B36, "No hay registros")</f>
        <v>T-4CHCQK</v>
      </c>
      <c r="D36" t="str">
        <v xml:space="preserve">DIONICIO CUADRA KAUTZ </v>
      </c>
      <c r="E36" t="str">
        <v>APROVACION Y REVICIÓN DE PLANOS TOPOGRAFICOS CON FINES CATASTRALES</v>
      </c>
      <c r="F36" s="7">
        <v>46049</v>
      </c>
      <c r="G36" s="7">
        <v>46070</v>
      </c>
      <c r="H36" s="7">
        <v>46049</v>
      </c>
      <c r="I36" s="9">
        <v>1510</v>
      </c>
      <c r="J36" t="str">
        <v>Aprovados</v>
      </c>
      <c r="K36" t="str">
        <v>enero</v>
      </c>
    </row>
    <row r="37" spans="2:11" x14ac:dyDescent="0.25">
      <c r="C37" t="str">
        <v>T-4CHCQ0</v>
      </c>
      <c r="D37" t="str">
        <v xml:space="preserve">DIONICIO CUADRA KAUTZ </v>
      </c>
      <c r="E37" t="str">
        <v>APROVACION Y REVICIÓN DE PLANOS TOPOGRAFICOS CON FINES CATASTRALES</v>
      </c>
      <c r="F37" s="7">
        <v>46049</v>
      </c>
      <c r="G37" s="7">
        <v>46070</v>
      </c>
      <c r="H37" s="7">
        <v>46049</v>
      </c>
      <c r="I37" s="9">
        <v>1510</v>
      </c>
      <c r="J37" t="str">
        <v>Aprovados</v>
      </c>
      <c r="K37" t="str">
        <v>enero</v>
      </c>
    </row>
    <row r="38" spans="2:11" x14ac:dyDescent="0.25">
      <c r="C38" t="str">
        <v>T-4CIDFS</v>
      </c>
      <c r="D38" t="str">
        <v>BENJAMIN MATHIAS MICHAEL HASS</v>
      </c>
      <c r="E38" t="str">
        <v>APROVACION Y REVICIÓN DE PLANOS TOPOGRAFICOS CON FINES CATASTRALES</v>
      </c>
      <c r="F38" s="7">
        <v>46073</v>
      </c>
      <c r="G38" s="7">
        <v>46094</v>
      </c>
      <c r="H38" s="7">
        <v>46073</v>
      </c>
      <c r="I38" s="9">
        <v>1510</v>
      </c>
      <c r="J38" t="str">
        <v>Aprovados</v>
      </c>
      <c r="K38" t="str">
        <v>febrero</v>
      </c>
    </row>
    <row r="39" spans="2:11" x14ac:dyDescent="0.25">
      <c r="C39" t="str">
        <v>T-4CI3L3</v>
      </c>
      <c r="D39" t="str">
        <v>CARMEN CECILIA FLORES GUTIERREZ</v>
      </c>
      <c r="E39" t="str">
        <v>APROVACION Y REVICIÓN DE PLANOS TOPOGRAFICOS CON FINES CATASTRALES</v>
      </c>
      <c r="F39" s="7">
        <v>46066</v>
      </c>
      <c r="G39" s="7">
        <v>46087</v>
      </c>
      <c r="H39" s="7">
        <v>46066</v>
      </c>
      <c r="I39" s="9">
        <v>1510</v>
      </c>
      <c r="J39" t="str">
        <v>Aprovados</v>
      </c>
      <c r="K39" t="str">
        <v>febrero</v>
      </c>
    </row>
    <row r="40" spans="2:11" x14ac:dyDescent="0.25">
      <c r="C40" t="str">
        <v>T-4CILAP</v>
      </c>
      <c r="D40" t="str">
        <v>GREGORY HERNANDEZ</v>
      </c>
      <c r="E40" t="str">
        <v>APROVACION Y REVICIÓN DE PLANOS TOPOGRAFICOS CON FINES CATASTRALES</v>
      </c>
      <c r="F40" s="7">
        <v>46078</v>
      </c>
      <c r="G40" s="7">
        <v>46099</v>
      </c>
      <c r="H40" s="7">
        <v>46078</v>
      </c>
      <c r="I40" s="9">
        <v>1510</v>
      </c>
      <c r="J40" t="str">
        <v>Aprovados</v>
      </c>
      <c r="K40" t="str">
        <v>febrero</v>
      </c>
    </row>
    <row r="41" spans="2:11" x14ac:dyDescent="0.25">
      <c r="C41" t="str">
        <v>T-4CILBE</v>
      </c>
      <c r="D41" t="str">
        <v>GREGORY HERNANDEZ</v>
      </c>
      <c r="E41" t="str">
        <v>APROVACION Y REVICIÓN DE PLANOS TOPOGRAFICOS CON FINES CATASTRALES</v>
      </c>
      <c r="F41" s="7">
        <v>46078</v>
      </c>
      <c r="G41" s="7">
        <v>46099</v>
      </c>
      <c r="H41" s="7">
        <v>46078</v>
      </c>
      <c r="I41" s="9">
        <v>1510</v>
      </c>
      <c r="J41" t="str">
        <v>Aprovados</v>
      </c>
      <c r="K41" t="str">
        <v>febrero</v>
      </c>
    </row>
    <row r="43" spans="2:11" x14ac:dyDescent="0.25">
      <c r="F43" s="7"/>
      <c r="G43" s="7"/>
      <c r="H43" s="7"/>
      <c r="I43" s="9"/>
    </row>
    <row r="44" spans="2:11" x14ac:dyDescent="0.25">
      <c r="F44" s="7"/>
      <c r="G44" s="7"/>
      <c r="H44" s="7"/>
      <c r="I44" s="9"/>
    </row>
    <row r="45" spans="2:11" x14ac:dyDescent="0.25">
      <c r="F45" s="7"/>
      <c r="G45" s="7"/>
      <c r="H45" s="7"/>
      <c r="I45" s="9"/>
    </row>
    <row r="46" spans="2:11" x14ac:dyDescent="0.25">
      <c r="F46" s="7"/>
      <c r="G46" s="7"/>
      <c r="H46" s="7"/>
      <c r="I46" s="9"/>
    </row>
    <row r="47" spans="2:11" x14ac:dyDescent="0.25">
      <c r="F47" s="7"/>
      <c r="G47" s="7"/>
      <c r="H47" s="7"/>
      <c r="I47" s="9"/>
    </row>
    <row r="48" spans="2:11" x14ac:dyDescent="0.25">
      <c r="F48" s="7"/>
      <c r="G48" s="7"/>
      <c r="H48" s="7"/>
      <c r="I48" s="9"/>
    </row>
    <row r="49" spans="6:9" x14ac:dyDescent="0.25">
      <c r="F49" s="7"/>
      <c r="G49" s="7"/>
      <c r="H49" s="7"/>
      <c r="I49" s="9"/>
    </row>
    <row r="50" spans="6:9" x14ac:dyDescent="0.25">
      <c r="F50" s="7"/>
      <c r="G50" s="7"/>
      <c r="H50" s="7"/>
      <c r="I50" s="9"/>
    </row>
    <row r="51" spans="6:9" x14ac:dyDescent="0.25">
      <c r="F51" s="7"/>
      <c r="G51" s="7"/>
      <c r="H51" s="7"/>
      <c r="I51" s="9"/>
    </row>
    <row r="52" spans="6:9" x14ac:dyDescent="0.25">
      <c r="F52" s="7"/>
      <c r="G52" s="7"/>
      <c r="H52" s="7"/>
      <c r="I52" s="9"/>
    </row>
    <row r="53" spans="6:9" x14ac:dyDescent="0.25">
      <c r="F53" s="7"/>
      <c r="G53" s="7"/>
      <c r="H53" s="7"/>
      <c r="I53" s="9"/>
    </row>
    <row r="54" spans="6:9" x14ac:dyDescent="0.25">
      <c r="F54" s="7"/>
      <c r="G54" s="7"/>
      <c r="H54" s="7"/>
      <c r="I54" s="9"/>
    </row>
    <row r="55" spans="6:9" x14ac:dyDescent="0.25">
      <c r="F55" s="7"/>
      <c r="G55" s="7"/>
      <c r="H55" s="7"/>
      <c r="I55" s="9"/>
    </row>
    <row r="56" spans="6:9" x14ac:dyDescent="0.25">
      <c r="F56" s="7"/>
      <c r="G56" s="7"/>
      <c r="H56" s="7"/>
      <c r="I56" s="9"/>
    </row>
    <row r="57" spans="6:9" x14ac:dyDescent="0.25">
      <c r="F57" s="7"/>
      <c r="G57" s="7"/>
      <c r="H57" s="7"/>
      <c r="I57" s="9"/>
    </row>
    <row r="58" spans="6:9" x14ac:dyDescent="0.25">
      <c r="F58" s="7"/>
      <c r="G58" s="7"/>
      <c r="H58" s="7"/>
      <c r="I58" s="9"/>
    </row>
    <row r="59" spans="6:9" x14ac:dyDescent="0.25">
      <c r="F59" s="7"/>
      <c r="G59" s="7"/>
      <c r="H59" s="7"/>
      <c r="I59" s="9"/>
    </row>
    <row r="60" spans="6:9" x14ac:dyDescent="0.25">
      <c r="F60" s="7"/>
      <c r="G60" s="7"/>
      <c r="H60" s="7"/>
      <c r="I60" s="9"/>
    </row>
    <row r="61" spans="6:9" x14ac:dyDescent="0.25">
      <c r="F61" s="7"/>
      <c r="G61" s="7"/>
      <c r="H61" s="7"/>
      <c r="I61" s="9"/>
    </row>
    <row r="62" spans="6:9" x14ac:dyDescent="0.25">
      <c r="F62" s="7"/>
      <c r="G62" s="7"/>
      <c r="H62" s="7"/>
      <c r="I62" s="9"/>
    </row>
    <row r="63" spans="6:9" x14ac:dyDescent="0.25">
      <c r="F63" s="7"/>
      <c r="G63" s="7"/>
      <c r="H63" s="7"/>
      <c r="I63" s="9"/>
    </row>
    <row r="64" spans="6:9" x14ac:dyDescent="0.25">
      <c r="F64" s="7"/>
      <c r="G64" s="7"/>
      <c r="H64" s="7"/>
      <c r="I64" s="9"/>
    </row>
    <row r="65" spans="6:9" x14ac:dyDescent="0.25">
      <c r="F65" s="7"/>
      <c r="G65" s="7"/>
      <c r="H65" s="7"/>
      <c r="I65" s="9"/>
    </row>
    <row r="66" spans="6:9" x14ac:dyDescent="0.25">
      <c r="F66" s="7"/>
      <c r="G66" s="7"/>
      <c r="H66" s="7"/>
      <c r="I66" s="9"/>
    </row>
    <row r="67" spans="6:9" x14ac:dyDescent="0.25">
      <c r="F67" s="7"/>
      <c r="G67" s="7"/>
      <c r="H67" s="7"/>
      <c r="I67" s="9"/>
    </row>
    <row r="68" spans="6:9" x14ac:dyDescent="0.25">
      <c r="F68" s="7"/>
      <c r="G68" s="7"/>
      <c r="H68" s="7"/>
      <c r="I68" s="9"/>
    </row>
    <row r="69" spans="6:9" x14ac:dyDescent="0.25">
      <c r="F69" s="7"/>
      <c r="G69" s="7"/>
      <c r="H69" s="7"/>
      <c r="I69" s="9"/>
    </row>
    <row r="70" spans="6:9" x14ac:dyDescent="0.25">
      <c r="F70" s="7"/>
      <c r="G70" s="7"/>
      <c r="H70" s="7"/>
      <c r="I70" s="9"/>
    </row>
    <row r="71" spans="6:9" x14ac:dyDescent="0.25">
      <c r="F71" s="7"/>
      <c r="G71" s="7"/>
      <c r="H71" s="7"/>
      <c r="I71" s="9"/>
    </row>
    <row r="72" spans="6:9" x14ac:dyDescent="0.25">
      <c r="F72" s="7"/>
      <c r="G72" s="7"/>
      <c r="H72" s="7"/>
      <c r="I72" s="9"/>
    </row>
    <row r="73" spans="6:9" x14ac:dyDescent="0.25">
      <c r="F73" s="7"/>
      <c r="G73" s="7"/>
      <c r="H73" s="7"/>
      <c r="I73" s="9"/>
    </row>
    <row r="74" spans="6:9" x14ac:dyDescent="0.25">
      <c r="F74" s="7"/>
      <c r="G74" s="7"/>
      <c r="H74" s="7"/>
      <c r="I74" s="9"/>
    </row>
    <row r="75" spans="6:9" x14ac:dyDescent="0.25">
      <c r="F75" s="7"/>
      <c r="G75" s="7"/>
      <c r="H75" s="7"/>
      <c r="I75" s="9"/>
    </row>
    <row r="76" spans="6:9" x14ac:dyDescent="0.25">
      <c r="F76" s="7"/>
      <c r="G76" s="7"/>
      <c r="H76" s="7"/>
      <c r="I76" s="9"/>
    </row>
    <row r="77" spans="6:9" x14ac:dyDescent="0.25">
      <c r="F77" s="7"/>
      <c r="G77" s="7"/>
      <c r="H77" s="7"/>
      <c r="I77" s="9"/>
    </row>
    <row r="78" spans="6:9" x14ac:dyDescent="0.25">
      <c r="F78" s="7"/>
      <c r="G78" s="7"/>
      <c r="H78" s="7"/>
    </row>
    <row r="79" spans="6:9" x14ac:dyDescent="0.25">
      <c r="F79" s="7"/>
      <c r="G79" s="7"/>
      <c r="H79" s="7"/>
    </row>
    <row r="80" spans="6:9" x14ac:dyDescent="0.25">
      <c r="F80" s="7"/>
      <c r="G80" s="7"/>
      <c r="H80" s="7"/>
    </row>
    <row r="81" spans="6:8" x14ac:dyDescent="0.25">
      <c r="F81" s="7"/>
      <c r="G81" s="7"/>
      <c r="H81" s="7"/>
    </row>
  </sheetData>
  <mergeCells count="6">
    <mergeCell ref="B34:K34"/>
    <mergeCell ref="C2:K2"/>
    <mergeCell ref="B6:K6"/>
    <mergeCell ref="B12:K12"/>
    <mergeCell ref="B18:K18"/>
    <mergeCell ref="B26:K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BAUCHER 2026</vt:lpstr>
      <vt:lpstr>Consultas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2026-02-27T15:30:27Z</dcterms:created>
  <dcterms:modified xsi:type="dcterms:W3CDTF">2026-03-03T17:52:38Z</dcterms:modified>
</cp:coreProperties>
</file>